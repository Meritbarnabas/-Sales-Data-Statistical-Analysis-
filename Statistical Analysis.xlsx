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FE4CE4F-FC72-48E5-97BC-7994AAA3642D}" xr6:coauthVersionLast="47" xr6:coauthVersionMax="47" xr10:uidLastSave="{00000000-0000-0000-0000-000000000000}"/>
  <bookViews>
    <workbookView xWindow="-120" yWindow="-120" windowWidth="20730" windowHeight="11040" activeTab="2" xr2:uid="{43E8924C-3334-4EB0-B5C2-88E67A1805D2}"/>
  </bookViews>
  <sheets>
    <sheet name="Messy" sheetId="1" r:id="rId1"/>
    <sheet name="Cleaned " sheetId="2" r:id="rId2"/>
    <sheet name="Analysis" sheetId="3" r:id="rId3"/>
    <sheet name="Chart" sheetId="4" r:id="rId4"/>
  </sheets>
  <definedNames>
    <definedName name="_xlchart.v1.0" hidden="1">Chart!$C$2:$C$119</definedName>
    <definedName name="_xlchart.v1.1" hidden="1">Chart!$C$2:$C$119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2" l="1"/>
  <c r="J2" i="2"/>
  <c r="B22" i="3"/>
  <c r="B20" i="3"/>
  <c r="B24" i="3" l="1"/>
  <c r="B26" i="3"/>
  <c r="B28" i="3"/>
  <c r="I2" i="2" l="1"/>
  <c r="H2" i="2"/>
</calcChain>
</file>

<file path=xl/sharedStrings.xml><?xml version="1.0" encoding="utf-8"?>
<sst xmlns="http://schemas.openxmlformats.org/spreadsheetml/2006/main" count="555" uniqueCount="182">
  <si>
    <t>Product,Category,Price,Quantity,Revenue,Region,Date</t>
  </si>
  <si>
    <t>Laptop,Electronics,850,4,3400,North,2025-01-03</t>
  </si>
  <si>
    <t>Phone,Electronics,600,8,4800,South,2025-01-04</t>
  </si>
  <si>
    <t>Tablet,Electronics,400,6,2400,East,2025-01-05</t>
  </si>
  <si>
    <t>Headphones,Electronics,80,25,2000,West,2025-01-06</t>
  </si>
  <si>
    <t>Monitor,Electronics,250,10,2500,North,2025-01-07</t>
  </si>
  <si>
    <t>Printer,Electronics,180,9,1620,South,2025-01-08</t>
  </si>
  <si>
    <t>Keyboard,Electronics,45,35,1575,East,2025-01-09</t>
  </si>
  <si>
    <t>Mouse,Electronics,25,50,1250,West,2025-01-10</t>
  </si>
  <si>
    <t>Chair,Furniture,120,12,1440,North,2025-01-11</t>
  </si>
  <si>
    <t>Desk,Furniture,220,7,1540,South,2025-01-12</t>
  </si>
  <si>
    <t>Laptop,Electronics,870,3,2610,East,2025-01-13</t>
  </si>
  <si>
    <t>Phone,Electronics,620,7,4340,West,2025-01-14</t>
  </si>
  <si>
    <t>Tablet,Electronics,390,8,3120,North,2025-01-15</t>
  </si>
  <si>
    <t>Headphones,Electronics,85,22,1870,South,2025-01-16</t>
  </si>
  <si>
    <t>Monitor,Electronics,260,9,2340,East,2025-01-17</t>
  </si>
  <si>
    <t>Printer,Electronics,175,11,1925,West,2025-01-18</t>
  </si>
  <si>
    <t>Keyboard,Electronics,48,30,1440,North,2025-01-19</t>
  </si>
  <si>
    <t>Mouse,Electronics,28,45,1260,South,2025-01-20</t>
  </si>
  <si>
    <t>Chair,Furniture,130,10,1300,East,2025-01-21</t>
  </si>
  <si>
    <t>Desk,Furniture,210,8,1680,West,2025-01-22</t>
  </si>
  <si>
    <t>Laptop,Electronics,900,5,4500,North,2025-01-23</t>
  </si>
  <si>
    <t>Phone,Electronics,580,9,5220,South,2025-01-24</t>
  </si>
  <si>
    <t>Tablet,Electronics,410,7,2870,East,2025-01-25</t>
  </si>
  <si>
    <t>Headphones,Electronics,75,28,2100,West,2025-01-26</t>
  </si>
  <si>
    <t>Monitor,Electronics,255,11,2805,North,2025-01-27</t>
  </si>
  <si>
    <t>Printer,Electronics,185,10,1850,South,2025-01-28</t>
  </si>
  <si>
    <t>Keyboard,Electronics,50,32,1600,East,2025-01-29</t>
  </si>
  <si>
    <t>Mouse,Electronics,30,42,1260,West,2025-01-30</t>
  </si>
  <si>
    <t>Chair,Furniture,125,11,1375,North,2025-01-31</t>
  </si>
  <si>
    <t>Desk,Furniture,230,6,1380,South,2025-02-01</t>
  </si>
  <si>
    <t>Laptop,Electronics,880,4,3520,East,2025-02-02</t>
  </si>
  <si>
    <t>Phone,Electronics,610,8,4880,West,2025-02-03</t>
  </si>
  <si>
    <t>Tablet,Electronics,395,9,3555,North,2025-02-04</t>
  </si>
  <si>
    <t>Headphones,Electronics,82,24,1968,South,2025-02-05</t>
  </si>
  <si>
    <t>Monitor,Electronics,270,8,2160,East,2025-02-06</t>
  </si>
  <si>
    <t>Printer,Electronics,190,9,1710,West,2025-02-07</t>
  </si>
  <si>
    <t>Keyboard,Electronics,47,33,1551,North,2025-02-08</t>
  </si>
  <si>
    <t>Mouse,Electronics,29,44,1276,South,2025-02-09</t>
  </si>
  <si>
    <t>Chair,Furniture,128,12,1536,East,2025-02-10</t>
  </si>
  <si>
    <t>Desk,Furniture,225,7,1575,West,2025-02-11</t>
  </si>
  <si>
    <t>Laptop,Electronics,920,4,3680,North,2025-02-12</t>
  </si>
  <si>
    <t>Phone,Electronics,640,7,4480,South,2025-02-13</t>
  </si>
  <si>
    <t>Tablet,Electronics,420,6,2520,East,2025-02-14</t>
  </si>
  <si>
    <t>Headphones,Electronics,88,23,2024,West,2025-02-15</t>
  </si>
  <si>
    <t>Monitor,Electronics,265,10,2650,North,2025-02-16</t>
  </si>
  <si>
    <t>Printer,Electronics,195,8,1560,South,2025-02-17</t>
  </si>
  <si>
    <t>Keyboard,Electronics,52,31,1612,East,2025-02-18</t>
  </si>
  <si>
    <t>Mouse,Electronics,31,40,1240,West,2025-02-19</t>
  </si>
  <si>
    <t>Chair,Furniture,135,9,1215,North,2025-02-20</t>
  </si>
  <si>
    <t>Desk,Furniture,240,7,1680,South,2025-02-21</t>
  </si>
  <si>
    <t>Laptop,Electronics,890,5,4450,East,2025-02-22</t>
  </si>
  <si>
    <t>Phone,Electronics,630,8,5040,West,2025-02-23</t>
  </si>
  <si>
    <t>Tablet,Electronics,405,7,2835,North,2025-02-24</t>
  </si>
  <si>
    <t>Headphones,Electronics,90,20,1800,South,2025-02-25</t>
  </si>
  <si>
    <t>Monitor,Electronics,275,9,2475,East,2025-02-26</t>
  </si>
  <si>
    <t>Printer,Electronics,200,9,1800,West,2025-02-27</t>
  </si>
  <si>
    <t>Keyboard,Electronics,54,29,1566,North,2025-02-28</t>
  </si>
  <si>
    <t>Mouse,Electronics,32,41,1312,South,2025-03-01</t>
  </si>
  <si>
    <t>Chair,Furniture,140,10,1400,East,2025-03-02</t>
  </si>
  <si>
    <t>Desk,Furniture,235,8,1880,West,2025-03-03</t>
  </si>
  <si>
    <t>Laptop,Electronics,940,4,3760,North,2025-03-04</t>
  </si>
  <si>
    <t>Phone,Electronics,650,8,5200,South,2025-03-05</t>
  </si>
  <si>
    <t>Tablet,Electronics,430,7,3010,East,2025-03-06</t>
  </si>
  <si>
    <t>Headphones,Electronics,92,21,1932,West,2025-03-07</t>
  </si>
  <si>
    <t>Monitor,Electronics,280,10,2800,North,2025-03-08</t>
  </si>
  <si>
    <t>Printer,Electronics,205,9,1845,South,2025-03-09</t>
  </si>
  <si>
    <t>Keyboard,Electronics,55,30,1650,East,2025-03-10</t>
  </si>
  <si>
    <t>Mouse,Electronics,34,39,1326,West,2025-03-11</t>
  </si>
  <si>
    <t>Chair,Furniture,142,11,1562,North,2025-03-12</t>
  </si>
  <si>
    <t>Desk,Furniture,245,7,1715,South,2025-03-13</t>
  </si>
  <si>
    <t>Laptop,Electronics,950,5,4750,East,2025-03-14</t>
  </si>
  <si>
    <t>Phone,Electronics,670,7,4690,West,2025-03-15</t>
  </si>
  <si>
    <t>Tablet,Electronics,440,8,3520,North,2025-03-16</t>
  </si>
  <si>
    <t>Headphones,Electronics,95,22,2090,South,2025-03-17</t>
  </si>
  <si>
    <t>Monitor,Electronics,285,9,2565,East,2025-03-18</t>
  </si>
  <si>
    <t>Printer,Electronics,210,8,1680,West,2025-03-19</t>
  </si>
  <si>
    <t>Keyboard,Electronics,58,28,1624,North,2025-03-20</t>
  </si>
  <si>
    <t>Mouse,Electronics,35,42,1470,South,2025-03-21</t>
  </si>
  <si>
    <t>Chair,Furniture,145,10,1450,East,2025-03-22</t>
  </si>
  <si>
    <t>Desk,Furniture,250,8,2000,West,2025-03-23</t>
  </si>
  <si>
    <t>Laptop,Electronics,980,4,3920,North,2025-03-24</t>
  </si>
  <si>
    <t>Phone,Electronics,690,8,5520,South,2025-03-25</t>
  </si>
  <si>
    <t>Tablet,Electronics,450,7,3150,East,2025-03-26</t>
  </si>
  <si>
    <t>Headphones,Electronics,98,20,1960,West,2025-03-27</t>
  </si>
  <si>
    <t>Monitor,Electronics,290,10,2900,North,2025-03-28</t>
  </si>
  <si>
    <t>Printer,Electronics,215,9,1935,South,2025-03-29</t>
  </si>
  <si>
    <t>Keyboard,Electronics,60,29,1740,East,2025-03-30</t>
  </si>
  <si>
    <t>Mouse,Electronics,36,41,1476,West,2025-03-31</t>
  </si>
  <si>
    <t>Chair,Furniture,150,11,1650,North,2025-04-01</t>
  </si>
  <si>
    <t>Desk,Furniture,255,8,2040,South,2025-04-02</t>
  </si>
  <si>
    <t>Laptop,Electronics,1000,25,25000,East,2025-04-03</t>
  </si>
  <si>
    <t>Phone,Electronics,700,20,14000,West,2025-04-04</t>
  </si>
  <si>
    <t>Tablet,Electronics,460,15,6900,North,2025-04-05</t>
  </si>
  <si>
    <t>Headphones,Electronics,100,60,6000,South,2025-04-06</t>
  </si>
  <si>
    <t>Monitor,Electronics,295,12,3540,East,2025-04-07</t>
  </si>
  <si>
    <t>Printer,Electronics,220,14,3080,West,2025-04-08</t>
  </si>
  <si>
    <t>Keyboard,Electronics,62,50,3100,North,2025-04-09</t>
  </si>
  <si>
    <t>Mouse,Electronics,38,70,2660,South,2025-04-10</t>
  </si>
  <si>
    <t>Chair,Furniture,155,15,2325,East,2025-04-11</t>
  </si>
  <si>
    <t>Desk,Furniture,260,12,3120,West,2025-04-12</t>
  </si>
  <si>
    <t>Laptop,Electronics,850,1,850,North,2025-04-13</t>
  </si>
  <si>
    <t>Phone,Electronics,600,2,1200,South,2025-04-14</t>
  </si>
  <si>
    <t>Tablet,Electronics,400,2,800,East,2025-04-15</t>
  </si>
  <si>
    <t>Headphones,Electronics,80,5,400,West,2025-04-16</t>
  </si>
  <si>
    <t>Monitor,Electronics,250,2,500,North,2025-04-17</t>
  </si>
  <si>
    <t>Printer,Electronics,180,3,540,South,2025-04-18</t>
  </si>
  <si>
    <t>Keyboard,Electronics,45,10,450,East,2025-04-19</t>
  </si>
  <si>
    <t>Mouse,Electronics,25,12,300,West,2025-04-20</t>
  </si>
  <si>
    <t>Chair,Furniture,120,3,360,North,2025-04-21</t>
  </si>
  <si>
    <t>Desk,Furniture,220,2,440,South,2025-04-22</t>
  </si>
  <si>
    <t>Laptop,Electronics,870,4,3480,East,2025-04-23</t>
  </si>
  <si>
    <t>Phone,Electronics,620,8,4960,West,2025-04-24</t>
  </si>
  <si>
    <t>Tablet,Electronics,410,6,2460,North,2025-04-25</t>
  </si>
  <si>
    <t>Headphones,Electronics,85,25,2125,South,2025-04-26</t>
  </si>
  <si>
    <t>Monitor,Electronics,260,10,2600,East,2025-04-27</t>
  </si>
  <si>
    <t>Printer,Electronics,185,10,1850,West,2025-04-28</t>
  </si>
  <si>
    <t>Keyboard,Electronics,50,33,1650,North,2025-04-29</t>
  </si>
  <si>
    <t>Mouse,Electronics,30,45,1350,South,2025-04-30</t>
  </si>
  <si>
    <t>Product</t>
  </si>
  <si>
    <t>Category</t>
  </si>
  <si>
    <t>Price</t>
  </si>
  <si>
    <t>Quantity</t>
  </si>
  <si>
    <t>Revenue</t>
  </si>
  <si>
    <t>Region</t>
  </si>
  <si>
    <t>Date</t>
  </si>
  <si>
    <t>Laptop</t>
  </si>
  <si>
    <t>Electronics</t>
  </si>
  <si>
    <t>North</t>
  </si>
  <si>
    <t>Phone</t>
  </si>
  <si>
    <t>South</t>
  </si>
  <si>
    <t>Tablet</t>
  </si>
  <si>
    <t>East</t>
  </si>
  <si>
    <t>Headphones</t>
  </si>
  <si>
    <t>West</t>
  </si>
  <si>
    <t>Monitor</t>
  </si>
  <si>
    <t>Printer</t>
  </si>
  <si>
    <t>Keyboard</t>
  </si>
  <si>
    <t>Mouse</t>
  </si>
  <si>
    <t>Chair</t>
  </si>
  <si>
    <t>Furniture</t>
  </si>
  <si>
    <t>Desk</t>
  </si>
  <si>
    <t>MEAN</t>
  </si>
  <si>
    <t>MEDIAN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</si>
  <si>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</si>
  <si>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</si>
  <si>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</si>
  <si>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</si>
  <si>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</si>
  <si>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</si>
  <si>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</si>
  <si>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</si>
  <si>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</si>
  <si>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</si>
  <si>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</si>
  <si>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</si>
  <si>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</si>
  <si>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</si>
  <si>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Descriptive statistic</t>
  </si>
  <si>
    <t>This indicates:</t>
  </si>
  <si>
    <t>Revenue values vary considerably.</t>
  </si>
  <si>
    <t>A few extremely large sales strongly influence overall performance.</t>
  </si>
  <si>
    <t>The standard deviation (2,675) is slightly larger than the mean (2,655).</t>
  </si>
  <si>
    <t>Sales are volatile rather than highly consistent.</t>
  </si>
  <si>
    <t>1st quartile</t>
  </si>
  <si>
    <t>3rd quartile</t>
  </si>
  <si>
    <t>IQR</t>
  </si>
  <si>
    <t>Lower limit</t>
  </si>
  <si>
    <t>upper limit</t>
  </si>
  <si>
    <t>NOTE:Any revenue above 5,423.38 is an outlier.</t>
  </si>
  <si>
    <t>These outliers occurred during early April, when sales volumes were unusually high:</t>
  </si>
  <si>
    <t>Laptop generated the highest revenue (25,000) due to the sale of 25 units at a price of 1,000 each.</t>
  </si>
  <si>
    <t>Phone generated 14,000 from 20 units sold at 700 each.</t>
  </si>
  <si>
    <t>Tablet generated 6,900 from 15 units sold at 460 each.</t>
  </si>
  <si>
    <t>Headphones generated 6,000 from 60 units sold at 100 each.</t>
  </si>
  <si>
    <t>Another Phone transaction generated 5,520.</t>
  </si>
  <si>
    <t>The concentration of these outliers in early April suggests a possible promotion</t>
  </si>
  <si>
    <t>NOTE:</t>
  </si>
  <si>
    <t>bulk purchase or sales campaign</t>
  </si>
  <si>
    <t>Variability Analysis</t>
  </si>
  <si>
    <t>Cor Q vs R</t>
  </si>
  <si>
    <t>Cor P vs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</si>
</sst>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4" borderId="3" xfId="0" applyFont="1" applyFill="1" applyBorder="1"/>
    <xf numFmtId="0" fontId="0" fillId="3" borderId="4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0" borderId="0" xfId="0" applyFill="1" applyBorder="1" applyAlignment="1"/>
    <xf numFmtId="0" fontId="3" fillId="0" borderId="6" xfId="0" applyFont="1" applyFill="1" applyBorder="1" applyAlignment="1">
      <alignment horizontal="centerContinuous"/>
    </xf>
    <xf numFmtId="0" fontId="4" fillId="0" borderId="6" xfId="0" applyFont="1" applyFill="1" applyBorder="1" applyAlignment="1">
      <alignment horizontal="centerContinuous"/>
    </xf>
    <xf numFmtId="0" fontId="5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7" xfId="0" applyFont="1" applyBorder="1"/>
    <xf numFmtId="0" fontId="0" fillId="0" borderId="7" xfId="0" applyBorder="1"/>
    <xf numFmtId="0" fontId="2" fillId="0" borderId="7" xfId="0" applyFont="1" applyBorder="1" applyAlignment="1">
      <alignment vertical="center" wrapText="1"/>
    </xf>
    <xf numFmtId="3" fontId="2" fillId="0" borderId="7" xfId="0" applyNumberFormat="1" applyFont="1" applyBorder="1" applyAlignment="1">
      <alignment vertical="center" wrapText="1"/>
    </xf>
    <xf numFmtId="14" fontId="2" fillId="0" borderId="7" xfId="0" applyNumberFormat="1" applyFont="1" applyBorder="1" applyAlignment="1">
      <alignment vertical="center" wrapText="1"/>
    </xf>
    <xf numFmtId="0" fontId="2" fillId="0" borderId="8" xfId="0" applyFont="1" applyBorder="1"/>
    <xf numFmtId="0" fontId="2" fillId="0" borderId="9" xfId="0" applyFont="1" applyBorder="1" applyAlignment="1">
      <alignment vertical="center" wrapText="1"/>
    </xf>
    <xf numFmtId="0" fontId="2" fillId="0" borderId="9" xfId="0" applyFont="1" applyBorder="1"/>
    <xf numFmtId="0" fontId="2" fillId="0" borderId="10" xfId="0" applyFont="1" applyBorder="1"/>
    <xf numFmtId="0" fontId="0" fillId="0" borderId="11" xfId="0" applyBorder="1"/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4" xfId="0" applyBorder="1"/>
    <xf numFmtId="0" fontId="2" fillId="0" borderId="14" xfId="0" applyFont="1" applyBorder="1"/>
    <xf numFmtId="0" fontId="2" fillId="0" borderId="15" xfId="0" applyFont="1" applyBorder="1"/>
    <xf numFmtId="0" fontId="6" fillId="0" borderId="0" xfId="0" applyFont="1"/>
    <xf numFmtId="2" fontId="2" fillId="0" borderId="13" xfId="0" applyNumberFormat="1" applyFont="1" applyBorder="1"/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3" fontId="0" fillId="0" borderId="0" xfId="0" applyNumberFormat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Price</a:t>
            </a:r>
            <a:r>
              <a:rPr lang="en-GB" baseline="0"/>
              <a:t> vs quantity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Chart!$A$2:$A$119</c:f>
              <c:numCache>
                <c:formatCode>General</c:formatCode>
                <c:ptCount val="118"/>
                <c:pt idx="0">
                  <c:v>850</c:v>
                </c:pt>
                <c:pt idx="1">
                  <c:v>600</c:v>
                </c:pt>
                <c:pt idx="2">
                  <c:v>400</c:v>
                </c:pt>
                <c:pt idx="3">
                  <c:v>80</c:v>
                </c:pt>
                <c:pt idx="4">
                  <c:v>250</c:v>
                </c:pt>
                <c:pt idx="5">
                  <c:v>180</c:v>
                </c:pt>
                <c:pt idx="6">
                  <c:v>45</c:v>
                </c:pt>
                <c:pt idx="7">
                  <c:v>25</c:v>
                </c:pt>
                <c:pt idx="8">
                  <c:v>120</c:v>
                </c:pt>
                <c:pt idx="9">
                  <c:v>220</c:v>
                </c:pt>
                <c:pt idx="10">
                  <c:v>870</c:v>
                </c:pt>
                <c:pt idx="11">
                  <c:v>620</c:v>
                </c:pt>
                <c:pt idx="12">
                  <c:v>390</c:v>
                </c:pt>
                <c:pt idx="13">
                  <c:v>85</c:v>
                </c:pt>
                <c:pt idx="14">
                  <c:v>260</c:v>
                </c:pt>
                <c:pt idx="15">
                  <c:v>175</c:v>
                </c:pt>
                <c:pt idx="16">
                  <c:v>48</c:v>
                </c:pt>
                <c:pt idx="17">
                  <c:v>28</c:v>
                </c:pt>
                <c:pt idx="18">
                  <c:v>130</c:v>
                </c:pt>
                <c:pt idx="19">
                  <c:v>210</c:v>
                </c:pt>
                <c:pt idx="20">
                  <c:v>900</c:v>
                </c:pt>
                <c:pt idx="21">
                  <c:v>580</c:v>
                </c:pt>
                <c:pt idx="22">
                  <c:v>410</c:v>
                </c:pt>
                <c:pt idx="23">
                  <c:v>75</c:v>
                </c:pt>
                <c:pt idx="24">
                  <c:v>255</c:v>
                </c:pt>
                <c:pt idx="25">
                  <c:v>185</c:v>
                </c:pt>
                <c:pt idx="26">
                  <c:v>50</c:v>
                </c:pt>
                <c:pt idx="27">
                  <c:v>30</c:v>
                </c:pt>
                <c:pt idx="28">
                  <c:v>125</c:v>
                </c:pt>
                <c:pt idx="29">
                  <c:v>230</c:v>
                </c:pt>
                <c:pt idx="30">
                  <c:v>880</c:v>
                </c:pt>
                <c:pt idx="31">
                  <c:v>610</c:v>
                </c:pt>
                <c:pt idx="32">
                  <c:v>395</c:v>
                </c:pt>
                <c:pt idx="33">
                  <c:v>82</c:v>
                </c:pt>
                <c:pt idx="34">
                  <c:v>270</c:v>
                </c:pt>
                <c:pt idx="35">
                  <c:v>190</c:v>
                </c:pt>
                <c:pt idx="36">
                  <c:v>47</c:v>
                </c:pt>
                <c:pt idx="37">
                  <c:v>29</c:v>
                </c:pt>
                <c:pt idx="38">
                  <c:v>128</c:v>
                </c:pt>
                <c:pt idx="39">
                  <c:v>225</c:v>
                </c:pt>
                <c:pt idx="40">
                  <c:v>920</c:v>
                </c:pt>
                <c:pt idx="41">
                  <c:v>640</c:v>
                </c:pt>
                <c:pt idx="42">
                  <c:v>420</c:v>
                </c:pt>
                <c:pt idx="43">
                  <c:v>88</c:v>
                </c:pt>
                <c:pt idx="44">
                  <c:v>265</c:v>
                </c:pt>
                <c:pt idx="45">
                  <c:v>195</c:v>
                </c:pt>
                <c:pt idx="46">
                  <c:v>52</c:v>
                </c:pt>
                <c:pt idx="47">
                  <c:v>31</c:v>
                </c:pt>
                <c:pt idx="48">
                  <c:v>135</c:v>
                </c:pt>
                <c:pt idx="49">
                  <c:v>240</c:v>
                </c:pt>
                <c:pt idx="50">
                  <c:v>890</c:v>
                </c:pt>
                <c:pt idx="51">
                  <c:v>630</c:v>
                </c:pt>
                <c:pt idx="52">
                  <c:v>405</c:v>
                </c:pt>
                <c:pt idx="53">
                  <c:v>90</c:v>
                </c:pt>
                <c:pt idx="54">
                  <c:v>275</c:v>
                </c:pt>
                <c:pt idx="55">
                  <c:v>200</c:v>
                </c:pt>
                <c:pt idx="56">
                  <c:v>54</c:v>
                </c:pt>
                <c:pt idx="57">
                  <c:v>32</c:v>
                </c:pt>
                <c:pt idx="58">
                  <c:v>140</c:v>
                </c:pt>
                <c:pt idx="59">
                  <c:v>235</c:v>
                </c:pt>
                <c:pt idx="60">
                  <c:v>940</c:v>
                </c:pt>
                <c:pt idx="61">
                  <c:v>650</c:v>
                </c:pt>
                <c:pt idx="62">
                  <c:v>430</c:v>
                </c:pt>
                <c:pt idx="63">
                  <c:v>92</c:v>
                </c:pt>
                <c:pt idx="64">
                  <c:v>280</c:v>
                </c:pt>
                <c:pt idx="65">
                  <c:v>205</c:v>
                </c:pt>
                <c:pt idx="66">
                  <c:v>55</c:v>
                </c:pt>
                <c:pt idx="67">
                  <c:v>34</c:v>
                </c:pt>
                <c:pt idx="68">
                  <c:v>142</c:v>
                </c:pt>
                <c:pt idx="69">
                  <c:v>245</c:v>
                </c:pt>
                <c:pt idx="70">
                  <c:v>950</c:v>
                </c:pt>
                <c:pt idx="71">
                  <c:v>670</c:v>
                </c:pt>
                <c:pt idx="72">
                  <c:v>440</c:v>
                </c:pt>
                <c:pt idx="73">
                  <c:v>95</c:v>
                </c:pt>
                <c:pt idx="74">
                  <c:v>285</c:v>
                </c:pt>
                <c:pt idx="75">
                  <c:v>210</c:v>
                </c:pt>
                <c:pt idx="76">
                  <c:v>58</c:v>
                </c:pt>
                <c:pt idx="77">
                  <c:v>35</c:v>
                </c:pt>
                <c:pt idx="78">
                  <c:v>145</c:v>
                </c:pt>
                <c:pt idx="79">
                  <c:v>250</c:v>
                </c:pt>
                <c:pt idx="80">
                  <c:v>980</c:v>
                </c:pt>
                <c:pt idx="81">
                  <c:v>690</c:v>
                </c:pt>
                <c:pt idx="82">
                  <c:v>450</c:v>
                </c:pt>
                <c:pt idx="83">
                  <c:v>98</c:v>
                </c:pt>
                <c:pt idx="84">
                  <c:v>290</c:v>
                </c:pt>
                <c:pt idx="85">
                  <c:v>215</c:v>
                </c:pt>
                <c:pt idx="86">
                  <c:v>60</c:v>
                </c:pt>
                <c:pt idx="87">
                  <c:v>36</c:v>
                </c:pt>
                <c:pt idx="88">
                  <c:v>150</c:v>
                </c:pt>
                <c:pt idx="89">
                  <c:v>255</c:v>
                </c:pt>
                <c:pt idx="90">
                  <c:v>1000</c:v>
                </c:pt>
                <c:pt idx="91">
                  <c:v>700</c:v>
                </c:pt>
                <c:pt idx="92">
                  <c:v>460</c:v>
                </c:pt>
                <c:pt idx="93">
                  <c:v>100</c:v>
                </c:pt>
                <c:pt idx="94">
                  <c:v>295</c:v>
                </c:pt>
                <c:pt idx="95">
                  <c:v>220</c:v>
                </c:pt>
                <c:pt idx="96">
                  <c:v>62</c:v>
                </c:pt>
                <c:pt idx="97">
                  <c:v>38</c:v>
                </c:pt>
                <c:pt idx="98">
                  <c:v>155</c:v>
                </c:pt>
                <c:pt idx="99">
                  <c:v>260</c:v>
                </c:pt>
                <c:pt idx="100">
                  <c:v>850</c:v>
                </c:pt>
                <c:pt idx="101">
                  <c:v>600</c:v>
                </c:pt>
                <c:pt idx="102">
                  <c:v>400</c:v>
                </c:pt>
                <c:pt idx="103">
                  <c:v>80</c:v>
                </c:pt>
                <c:pt idx="104">
                  <c:v>250</c:v>
                </c:pt>
                <c:pt idx="105">
                  <c:v>180</c:v>
                </c:pt>
                <c:pt idx="106">
                  <c:v>45</c:v>
                </c:pt>
                <c:pt idx="107">
                  <c:v>25</c:v>
                </c:pt>
                <c:pt idx="108">
                  <c:v>120</c:v>
                </c:pt>
                <c:pt idx="109">
                  <c:v>220</c:v>
                </c:pt>
                <c:pt idx="110">
                  <c:v>870</c:v>
                </c:pt>
                <c:pt idx="111">
                  <c:v>620</c:v>
                </c:pt>
                <c:pt idx="112">
                  <c:v>410</c:v>
                </c:pt>
                <c:pt idx="113">
                  <c:v>85</c:v>
                </c:pt>
                <c:pt idx="114">
                  <c:v>260</c:v>
                </c:pt>
                <c:pt idx="115">
                  <c:v>185</c:v>
                </c:pt>
                <c:pt idx="116">
                  <c:v>50</c:v>
                </c:pt>
                <c:pt idx="117">
                  <c:v>30</c:v>
                </c:pt>
              </c:numCache>
            </c:numRef>
          </c:xVal>
          <c:yVal>
            <c:numRef>
              <c:f>Chart!$B$2:$B$119</c:f>
              <c:numCache>
                <c:formatCode>General</c:formatCode>
                <c:ptCount val="118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25</c:v>
                </c:pt>
                <c:pt idx="4">
                  <c:v>10</c:v>
                </c:pt>
                <c:pt idx="5">
                  <c:v>9</c:v>
                </c:pt>
                <c:pt idx="6">
                  <c:v>35</c:v>
                </c:pt>
                <c:pt idx="7">
                  <c:v>50</c:v>
                </c:pt>
                <c:pt idx="8">
                  <c:v>12</c:v>
                </c:pt>
                <c:pt idx="9">
                  <c:v>7</c:v>
                </c:pt>
                <c:pt idx="10">
                  <c:v>3</c:v>
                </c:pt>
                <c:pt idx="11">
                  <c:v>7</c:v>
                </c:pt>
                <c:pt idx="12">
                  <c:v>8</c:v>
                </c:pt>
                <c:pt idx="13">
                  <c:v>22</c:v>
                </c:pt>
                <c:pt idx="14">
                  <c:v>9</c:v>
                </c:pt>
                <c:pt idx="15">
                  <c:v>11</c:v>
                </c:pt>
                <c:pt idx="16">
                  <c:v>30</c:v>
                </c:pt>
                <c:pt idx="17">
                  <c:v>45</c:v>
                </c:pt>
                <c:pt idx="18">
                  <c:v>10</c:v>
                </c:pt>
                <c:pt idx="19">
                  <c:v>8</c:v>
                </c:pt>
                <c:pt idx="20">
                  <c:v>5</c:v>
                </c:pt>
                <c:pt idx="21">
                  <c:v>9</c:v>
                </c:pt>
                <c:pt idx="22">
                  <c:v>7</c:v>
                </c:pt>
                <c:pt idx="23">
                  <c:v>28</c:v>
                </c:pt>
                <c:pt idx="24">
                  <c:v>11</c:v>
                </c:pt>
                <c:pt idx="25">
                  <c:v>10</c:v>
                </c:pt>
                <c:pt idx="26">
                  <c:v>32</c:v>
                </c:pt>
                <c:pt idx="27">
                  <c:v>42</c:v>
                </c:pt>
                <c:pt idx="28">
                  <c:v>11</c:v>
                </c:pt>
                <c:pt idx="29">
                  <c:v>6</c:v>
                </c:pt>
                <c:pt idx="30">
                  <c:v>4</c:v>
                </c:pt>
                <c:pt idx="31">
                  <c:v>8</c:v>
                </c:pt>
                <c:pt idx="32">
                  <c:v>9</c:v>
                </c:pt>
                <c:pt idx="33">
                  <c:v>24</c:v>
                </c:pt>
                <c:pt idx="34">
                  <c:v>8</c:v>
                </c:pt>
                <c:pt idx="35">
                  <c:v>9</c:v>
                </c:pt>
                <c:pt idx="36">
                  <c:v>33</c:v>
                </c:pt>
                <c:pt idx="37">
                  <c:v>44</c:v>
                </c:pt>
                <c:pt idx="38">
                  <c:v>12</c:v>
                </c:pt>
                <c:pt idx="39">
                  <c:v>7</c:v>
                </c:pt>
                <c:pt idx="40">
                  <c:v>4</c:v>
                </c:pt>
                <c:pt idx="41">
                  <c:v>7</c:v>
                </c:pt>
                <c:pt idx="42">
                  <c:v>6</c:v>
                </c:pt>
                <c:pt idx="43">
                  <c:v>23</c:v>
                </c:pt>
                <c:pt idx="44">
                  <c:v>10</c:v>
                </c:pt>
                <c:pt idx="45">
                  <c:v>8</c:v>
                </c:pt>
                <c:pt idx="46">
                  <c:v>31</c:v>
                </c:pt>
                <c:pt idx="47">
                  <c:v>40</c:v>
                </c:pt>
                <c:pt idx="48">
                  <c:v>9</c:v>
                </c:pt>
                <c:pt idx="49">
                  <c:v>7</c:v>
                </c:pt>
                <c:pt idx="50">
                  <c:v>5</c:v>
                </c:pt>
                <c:pt idx="51">
                  <c:v>8</c:v>
                </c:pt>
                <c:pt idx="52">
                  <c:v>7</c:v>
                </c:pt>
                <c:pt idx="53">
                  <c:v>20</c:v>
                </c:pt>
                <c:pt idx="54">
                  <c:v>9</c:v>
                </c:pt>
                <c:pt idx="55">
                  <c:v>9</c:v>
                </c:pt>
                <c:pt idx="56">
                  <c:v>29</c:v>
                </c:pt>
                <c:pt idx="57">
                  <c:v>41</c:v>
                </c:pt>
                <c:pt idx="58">
                  <c:v>10</c:v>
                </c:pt>
                <c:pt idx="59">
                  <c:v>8</c:v>
                </c:pt>
                <c:pt idx="60">
                  <c:v>4</c:v>
                </c:pt>
                <c:pt idx="61">
                  <c:v>8</c:v>
                </c:pt>
                <c:pt idx="62">
                  <c:v>7</c:v>
                </c:pt>
                <c:pt idx="63">
                  <c:v>21</c:v>
                </c:pt>
                <c:pt idx="64">
                  <c:v>10</c:v>
                </c:pt>
                <c:pt idx="65">
                  <c:v>9</c:v>
                </c:pt>
                <c:pt idx="66">
                  <c:v>30</c:v>
                </c:pt>
                <c:pt idx="67">
                  <c:v>39</c:v>
                </c:pt>
                <c:pt idx="68">
                  <c:v>11</c:v>
                </c:pt>
                <c:pt idx="69">
                  <c:v>7</c:v>
                </c:pt>
                <c:pt idx="70">
                  <c:v>5</c:v>
                </c:pt>
                <c:pt idx="71">
                  <c:v>7</c:v>
                </c:pt>
                <c:pt idx="72">
                  <c:v>8</c:v>
                </c:pt>
                <c:pt idx="73">
                  <c:v>22</c:v>
                </c:pt>
                <c:pt idx="74">
                  <c:v>9</c:v>
                </c:pt>
                <c:pt idx="75">
                  <c:v>8</c:v>
                </c:pt>
                <c:pt idx="76">
                  <c:v>28</c:v>
                </c:pt>
                <c:pt idx="77">
                  <c:v>42</c:v>
                </c:pt>
                <c:pt idx="78">
                  <c:v>10</c:v>
                </c:pt>
                <c:pt idx="79">
                  <c:v>8</c:v>
                </c:pt>
                <c:pt idx="80">
                  <c:v>4</c:v>
                </c:pt>
                <c:pt idx="81">
                  <c:v>8</c:v>
                </c:pt>
                <c:pt idx="82">
                  <c:v>7</c:v>
                </c:pt>
                <c:pt idx="83">
                  <c:v>20</c:v>
                </c:pt>
                <c:pt idx="84">
                  <c:v>10</c:v>
                </c:pt>
                <c:pt idx="85">
                  <c:v>9</c:v>
                </c:pt>
                <c:pt idx="86">
                  <c:v>29</c:v>
                </c:pt>
                <c:pt idx="87">
                  <c:v>41</c:v>
                </c:pt>
                <c:pt idx="88">
                  <c:v>11</c:v>
                </c:pt>
                <c:pt idx="89">
                  <c:v>8</c:v>
                </c:pt>
                <c:pt idx="90">
                  <c:v>25</c:v>
                </c:pt>
                <c:pt idx="91">
                  <c:v>20</c:v>
                </c:pt>
                <c:pt idx="92">
                  <c:v>15</c:v>
                </c:pt>
                <c:pt idx="93">
                  <c:v>60</c:v>
                </c:pt>
                <c:pt idx="94">
                  <c:v>12</c:v>
                </c:pt>
                <c:pt idx="95">
                  <c:v>14</c:v>
                </c:pt>
                <c:pt idx="96">
                  <c:v>50</c:v>
                </c:pt>
                <c:pt idx="97">
                  <c:v>70</c:v>
                </c:pt>
                <c:pt idx="98">
                  <c:v>15</c:v>
                </c:pt>
                <c:pt idx="99">
                  <c:v>12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5</c:v>
                </c:pt>
                <c:pt idx="104">
                  <c:v>2</c:v>
                </c:pt>
                <c:pt idx="105">
                  <c:v>3</c:v>
                </c:pt>
                <c:pt idx="106">
                  <c:v>10</c:v>
                </c:pt>
                <c:pt idx="107">
                  <c:v>12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8</c:v>
                </c:pt>
                <c:pt idx="112">
                  <c:v>6</c:v>
                </c:pt>
                <c:pt idx="113">
                  <c:v>25</c:v>
                </c:pt>
                <c:pt idx="114">
                  <c:v>10</c:v>
                </c:pt>
                <c:pt idx="115">
                  <c:v>10</c:v>
                </c:pt>
                <c:pt idx="116">
                  <c:v>33</c:v>
                </c:pt>
                <c:pt idx="117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7-4A0F-A1E4-B1AE597B4C5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503160415"/>
        <c:axId val="503166175"/>
      </c:scatterChart>
      <c:valAx>
        <c:axId val="503160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66175"/>
        <c:crosses val="autoZero"/>
        <c:crossBetween val="midCat"/>
      </c:valAx>
      <c:valAx>
        <c:axId val="50316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60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vs Quantity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Chart!$B$2:$B$119</c:f>
              <c:numCache>
                <c:formatCode>General</c:formatCode>
                <c:ptCount val="118"/>
                <c:pt idx="0">
                  <c:v>4</c:v>
                </c:pt>
                <c:pt idx="1">
                  <c:v>8</c:v>
                </c:pt>
                <c:pt idx="2">
                  <c:v>6</c:v>
                </c:pt>
                <c:pt idx="3">
                  <c:v>25</c:v>
                </c:pt>
                <c:pt idx="4">
                  <c:v>10</c:v>
                </c:pt>
                <c:pt idx="5">
                  <c:v>9</c:v>
                </c:pt>
                <c:pt idx="6">
                  <c:v>35</c:v>
                </c:pt>
                <c:pt idx="7">
                  <c:v>50</c:v>
                </c:pt>
                <c:pt idx="8">
                  <c:v>12</c:v>
                </c:pt>
                <c:pt idx="9">
                  <c:v>7</c:v>
                </c:pt>
                <c:pt idx="10">
                  <c:v>3</c:v>
                </c:pt>
                <c:pt idx="11">
                  <c:v>7</c:v>
                </c:pt>
                <c:pt idx="12">
                  <c:v>8</c:v>
                </c:pt>
                <c:pt idx="13">
                  <c:v>22</c:v>
                </c:pt>
                <c:pt idx="14">
                  <c:v>9</c:v>
                </c:pt>
                <c:pt idx="15">
                  <c:v>11</c:v>
                </c:pt>
                <c:pt idx="16">
                  <c:v>30</c:v>
                </c:pt>
                <c:pt idx="17">
                  <c:v>45</c:v>
                </c:pt>
                <c:pt idx="18">
                  <c:v>10</c:v>
                </c:pt>
                <c:pt idx="19">
                  <c:v>8</c:v>
                </c:pt>
                <c:pt idx="20">
                  <c:v>5</c:v>
                </c:pt>
                <c:pt idx="21">
                  <c:v>9</c:v>
                </c:pt>
                <c:pt idx="22">
                  <c:v>7</c:v>
                </c:pt>
                <c:pt idx="23">
                  <c:v>28</c:v>
                </c:pt>
                <c:pt idx="24">
                  <c:v>11</c:v>
                </c:pt>
                <c:pt idx="25">
                  <c:v>10</c:v>
                </c:pt>
                <c:pt idx="26">
                  <c:v>32</c:v>
                </c:pt>
                <c:pt idx="27">
                  <c:v>42</c:v>
                </c:pt>
                <c:pt idx="28">
                  <c:v>11</c:v>
                </c:pt>
                <c:pt idx="29">
                  <c:v>6</c:v>
                </c:pt>
                <c:pt idx="30">
                  <c:v>4</c:v>
                </c:pt>
                <c:pt idx="31">
                  <c:v>8</c:v>
                </c:pt>
                <c:pt idx="32">
                  <c:v>9</c:v>
                </c:pt>
                <c:pt idx="33">
                  <c:v>24</c:v>
                </c:pt>
                <c:pt idx="34">
                  <c:v>8</c:v>
                </c:pt>
                <c:pt idx="35">
                  <c:v>9</c:v>
                </c:pt>
                <c:pt idx="36">
                  <c:v>33</c:v>
                </c:pt>
                <c:pt idx="37">
                  <c:v>44</c:v>
                </c:pt>
                <c:pt idx="38">
                  <c:v>12</c:v>
                </c:pt>
                <c:pt idx="39">
                  <c:v>7</c:v>
                </c:pt>
                <c:pt idx="40">
                  <c:v>4</c:v>
                </c:pt>
                <c:pt idx="41">
                  <c:v>7</c:v>
                </c:pt>
                <c:pt idx="42">
                  <c:v>6</c:v>
                </c:pt>
                <c:pt idx="43">
                  <c:v>23</c:v>
                </c:pt>
                <c:pt idx="44">
                  <c:v>10</c:v>
                </c:pt>
                <c:pt idx="45">
                  <c:v>8</c:v>
                </c:pt>
                <c:pt idx="46">
                  <c:v>31</c:v>
                </c:pt>
                <c:pt idx="47">
                  <c:v>40</c:v>
                </c:pt>
                <c:pt idx="48">
                  <c:v>9</c:v>
                </c:pt>
                <c:pt idx="49">
                  <c:v>7</c:v>
                </c:pt>
                <c:pt idx="50">
                  <c:v>5</c:v>
                </c:pt>
                <c:pt idx="51">
                  <c:v>8</c:v>
                </c:pt>
                <c:pt idx="52">
                  <c:v>7</c:v>
                </c:pt>
                <c:pt idx="53">
                  <c:v>20</c:v>
                </c:pt>
                <c:pt idx="54">
                  <c:v>9</c:v>
                </c:pt>
                <c:pt idx="55">
                  <c:v>9</c:v>
                </c:pt>
                <c:pt idx="56">
                  <c:v>29</c:v>
                </c:pt>
                <c:pt idx="57">
                  <c:v>41</c:v>
                </c:pt>
                <c:pt idx="58">
                  <c:v>10</c:v>
                </c:pt>
                <c:pt idx="59">
                  <c:v>8</c:v>
                </c:pt>
                <c:pt idx="60">
                  <c:v>4</c:v>
                </c:pt>
                <c:pt idx="61">
                  <c:v>8</c:v>
                </c:pt>
                <c:pt idx="62">
                  <c:v>7</c:v>
                </c:pt>
                <c:pt idx="63">
                  <c:v>21</c:v>
                </c:pt>
                <c:pt idx="64">
                  <c:v>10</c:v>
                </c:pt>
                <c:pt idx="65">
                  <c:v>9</c:v>
                </c:pt>
                <c:pt idx="66">
                  <c:v>30</c:v>
                </c:pt>
                <c:pt idx="67">
                  <c:v>39</c:v>
                </c:pt>
                <c:pt idx="68">
                  <c:v>11</c:v>
                </c:pt>
                <c:pt idx="69">
                  <c:v>7</c:v>
                </c:pt>
                <c:pt idx="70">
                  <c:v>5</c:v>
                </c:pt>
                <c:pt idx="71">
                  <c:v>7</c:v>
                </c:pt>
                <c:pt idx="72">
                  <c:v>8</c:v>
                </c:pt>
                <c:pt idx="73">
                  <c:v>22</c:v>
                </c:pt>
                <c:pt idx="74">
                  <c:v>9</c:v>
                </c:pt>
                <c:pt idx="75">
                  <c:v>8</c:v>
                </c:pt>
                <c:pt idx="76">
                  <c:v>28</c:v>
                </c:pt>
                <c:pt idx="77">
                  <c:v>42</c:v>
                </c:pt>
                <c:pt idx="78">
                  <c:v>10</c:v>
                </c:pt>
                <c:pt idx="79">
                  <c:v>8</c:v>
                </c:pt>
                <c:pt idx="80">
                  <c:v>4</c:v>
                </c:pt>
                <c:pt idx="81">
                  <c:v>8</c:v>
                </c:pt>
                <c:pt idx="82">
                  <c:v>7</c:v>
                </c:pt>
                <c:pt idx="83">
                  <c:v>20</c:v>
                </c:pt>
                <c:pt idx="84">
                  <c:v>10</c:v>
                </c:pt>
                <c:pt idx="85">
                  <c:v>9</c:v>
                </c:pt>
                <c:pt idx="86">
                  <c:v>29</c:v>
                </c:pt>
                <c:pt idx="87">
                  <c:v>41</c:v>
                </c:pt>
                <c:pt idx="88">
                  <c:v>11</c:v>
                </c:pt>
                <c:pt idx="89">
                  <c:v>8</c:v>
                </c:pt>
                <c:pt idx="90">
                  <c:v>25</c:v>
                </c:pt>
                <c:pt idx="91">
                  <c:v>20</c:v>
                </c:pt>
                <c:pt idx="92">
                  <c:v>15</c:v>
                </c:pt>
                <c:pt idx="93">
                  <c:v>60</c:v>
                </c:pt>
                <c:pt idx="94">
                  <c:v>12</c:v>
                </c:pt>
                <c:pt idx="95">
                  <c:v>14</c:v>
                </c:pt>
                <c:pt idx="96">
                  <c:v>50</c:v>
                </c:pt>
                <c:pt idx="97">
                  <c:v>70</c:v>
                </c:pt>
                <c:pt idx="98">
                  <c:v>15</c:v>
                </c:pt>
                <c:pt idx="99">
                  <c:v>12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5</c:v>
                </c:pt>
                <c:pt idx="104">
                  <c:v>2</c:v>
                </c:pt>
                <c:pt idx="105">
                  <c:v>3</c:v>
                </c:pt>
                <c:pt idx="106">
                  <c:v>10</c:v>
                </c:pt>
                <c:pt idx="107">
                  <c:v>12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8</c:v>
                </c:pt>
                <c:pt idx="112">
                  <c:v>6</c:v>
                </c:pt>
                <c:pt idx="113">
                  <c:v>25</c:v>
                </c:pt>
                <c:pt idx="114">
                  <c:v>10</c:v>
                </c:pt>
                <c:pt idx="115">
                  <c:v>10</c:v>
                </c:pt>
                <c:pt idx="116">
                  <c:v>33</c:v>
                </c:pt>
                <c:pt idx="117">
                  <c:v>45</c:v>
                </c:pt>
              </c:numCache>
            </c:numRef>
          </c:xVal>
          <c:yVal>
            <c:numRef>
              <c:f>Chart!$C$2:$C$119</c:f>
              <c:numCache>
                <c:formatCode>General</c:formatCode>
                <c:ptCount val="118"/>
                <c:pt idx="0">
                  <c:v>3400</c:v>
                </c:pt>
                <c:pt idx="1">
                  <c:v>4800</c:v>
                </c:pt>
                <c:pt idx="2">
                  <c:v>2400</c:v>
                </c:pt>
                <c:pt idx="3">
                  <c:v>2000</c:v>
                </c:pt>
                <c:pt idx="4">
                  <c:v>2500</c:v>
                </c:pt>
                <c:pt idx="5">
                  <c:v>1620</c:v>
                </c:pt>
                <c:pt idx="6">
                  <c:v>1575</c:v>
                </c:pt>
                <c:pt idx="7">
                  <c:v>1250</c:v>
                </c:pt>
                <c:pt idx="8">
                  <c:v>1440</c:v>
                </c:pt>
                <c:pt idx="9">
                  <c:v>1540</c:v>
                </c:pt>
                <c:pt idx="10">
                  <c:v>2610</c:v>
                </c:pt>
                <c:pt idx="11">
                  <c:v>4340</c:v>
                </c:pt>
                <c:pt idx="12">
                  <c:v>3120</c:v>
                </c:pt>
                <c:pt idx="13">
                  <c:v>1870</c:v>
                </c:pt>
                <c:pt idx="14">
                  <c:v>2340</c:v>
                </c:pt>
                <c:pt idx="15">
                  <c:v>1925</c:v>
                </c:pt>
                <c:pt idx="16">
                  <c:v>1440</c:v>
                </c:pt>
                <c:pt idx="17">
                  <c:v>1260</c:v>
                </c:pt>
                <c:pt idx="18">
                  <c:v>1300</c:v>
                </c:pt>
                <c:pt idx="19">
                  <c:v>1680</c:v>
                </c:pt>
                <c:pt idx="20">
                  <c:v>4500</c:v>
                </c:pt>
                <c:pt idx="21">
                  <c:v>5220</c:v>
                </c:pt>
                <c:pt idx="22">
                  <c:v>2870</c:v>
                </c:pt>
                <c:pt idx="23">
                  <c:v>2100</c:v>
                </c:pt>
                <c:pt idx="24">
                  <c:v>2805</c:v>
                </c:pt>
                <c:pt idx="25">
                  <c:v>1850</c:v>
                </c:pt>
                <c:pt idx="26">
                  <c:v>1600</c:v>
                </c:pt>
                <c:pt idx="27">
                  <c:v>1260</c:v>
                </c:pt>
                <c:pt idx="28">
                  <c:v>1375</c:v>
                </c:pt>
                <c:pt idx="29">
                  <c:v>1380</c:v>
                </c:pt>
                <c:pt idx="30">
                  <c:v>3520</c:v>
                </c:pt>
                <c:pt idx="31">
                  <c:v>4880</c:v>
                </c:pt>
                <c:pt idx="32">
                  <c:v>3555</c:v>
                </c:pt>
                <c:pt idx="33">
                  <c:v>1968</c:v>
                </c:pt>
                <c:pt idx="34">
                  <c:v>2160</c:v>
                </c:pt>
                <c:pt idx="35">
                  <c:v>1710</c:v>
                </c:pt>
                <c:pt idx="36">
                  <c:v>1551</c:v>
                </c:pt>
                <c:pt idx="37">
                  <c:v>1276</c:v>
                </c:pt>
                <c:pt idx="38">
                  <c:v>1536</c:v>
                </c:pt>
                <c:pt idx="39">
                  <c:v>1575</c:v>
                </c:pt>
                <c:pt idx="40">
                  <c:v>3680</c:v>
                </c:pt>
                <c:pt idx="41">
                  <c:v>4480</c:v>
                </c:pt>
                <c:pt idx="42">
                  <c:v>2520</c:v>
                </c:pt>
                <c:pt idx="43">
                  <c:v>2024</c:v>
                </c:pt>
                <c:pt idx="44">
                  <c:v>2650</c:v>
                </c:pt>
                <c:pt idx="45">
                  <c:v>1560</c:v>
                </c:pt>
                <c:pt idx="46">
                  <c:v>1612</c:v>
                </c:pt>
                <c:pt idx="47">
                  <c:v>1240</c:v>
                </c:pt>
                <c:pt idx="48">
                  <c:v>1215</c:v>
                </c:pt>
                <c:pt idx="49">
                  <c:v>1680</c:v>
                </c:pt>
                <c:pt idx="50">
                  <c:v>4450</c:v>
                </c:pt>
                <c:pt idx="51">
                  <c:v>5040</c:v>
                </c:pt>
                <c:pt idx="52">
                  <c:v>2835</c:v>
                </c:pt>
                <c:pt idx="53">
                  <c:v>1800</c:v>
                </c:pt>
                <c:pt idx="54">
                  <c:v>2475</c:v>
                </c:pt>
                <c:pt idx="55">
                  <c:v>1800</c:v>
                </c:pt>
                <c:pt idx="56">
                  <c:v>1566</c:v>
                </c:pt>
                <c:pt idx="57">
                  <c:v>1312</c:v>
                </c:pt>
                <c:pt idx="58">
                  <c:v>1400</c:v>
                </c:pt>
                <c:pt idx="59">
                  <c:v>1880</c:v>
                </c:pt>
                <c:pt idx="60">
                  <c:v>3760</c:v>
                </c:pt>
                <c:pt idx="61">
                  <c:v>5200</c:v>
                </c:pt>
                <c:pt idx="62">
                  <c:v>3010</c:v>
                </c:pt>
                <c:pt idx="63">
                  <c:v>1932</c:v>
                </c:pt>
                <c:pt idx="64">
                  <c:v>2800</c:v>
                </c:pt>
                <c:pt idx="65">
                  <c:v>1845</c:v>
                </c:pt>
                <c:pt idx="66">
                  <c:v>1650</c:v>
                </c:pt>
                <c:pt idx="67">
                  <c:v>1326</c:v>
                </c:pt>
                <c:pt idx="68">
                  <c:v>1562</c:v>
                </c:pt>
                <c:pt idx="69">
                  <c:v>1715</c:v>
                </c:pt>
                <c:pt idx="70">
                  <c:v>4750</c:v>
                </c:pt>
                <c:pt idx="71">
                  <c:v>4690</c:v>
                </c:pt>
                <c:pt idx="72">
                  <c:v>3520</c:v>
                </c:pt>
                <c:pt idx="73">
                  <c:v>2090</c:v>
                </c:pt>
                <c:pt idx="74">
                  <c:v>2565</c:v>
                </c:pt>
                <c:pt idx="75">
                  <c:v>1680</c:v>
                </c:pt>
                <c:pt idx="76">
                  <c:v>1624</c:v>
                </c:pt>
                <c:pt idx="77">
                  <c:v>1470</c:v>
                </c:pt>
                <c:pt idx="78">
                  <c:v>1450</c:v>
                </c:pt>
                <c:pt idx="79">
                  <c:v>2000</c:v>
                </c:pt>
                <c:pt idx="80">
                  <c:v>3920</c:v>
                </c:pt>
                <c:pt idx="81">
                  <c:v>5520</c:v>
                </c:pt>
                <c:pt idx="82">
                  <c:v>3150</c:v>
                </c:pt>
                <c:pt idx="83">
                  <c:v>1960</c:v>
                </c:pt>
                <c:pt idx="84">
                  <c:v>2900</c:v>
                </c:pt>
                <c:pt idx="85">
                  <c:v>1935</c:v>
                </c:pt>
                <c:pt idx="86">
                  <c:v>1740</c:v>
                </c:pt>
                <c:pt idx="87">
                  <c:v>1476</c:v>
                </c:pt>
                <c:pt idx="88">
                  <c:v>1650</c:v>
                </c:pt>
                <c:pt idx="89">
                  <c:v>2040</c:v>
                </c:pt>
                <c:pt idx="90">
                  <c:v>25000</c:v>
                </c:pt>
                <c:pt idx="91">
                  <c:v>14000</c:v>
                </c:pt>
                <c:pt idx="92">
                  <c:v>6900</c:v>
                </c:pt>
                <c:pt idx="93">
                  <c:v>6000</c:v>
                </c:pt>
                <c:pt idx="94">
                  <c:v>3540</c:v>
                </c:pt>
                <c:pt idx="95">
                  <c:v>3080</c:v>
                </c:pt>
                <c:pt idx="96">
                  <c:v>3100</c:v>
                </c:pt>
                <c:pt idx="97">
                  <c:v>2660</c:v>
                </c:pt>
                <c:pt idx="98">
                  <c:v>2325</c:v>
                </c:pt>
                <c:pt idx="99">
                  <c:v>3120</c:v>
                </c:pt>
                <c:pt idx="100">
                  <c:v>850</c:v>
                </c:pt>
                <c:pt idx="101">
                  <c:v>1200</c:v>
                </c:pt>
                <c:pt idx="102">
                  <c:v>800</c:v>
                </c:pt>
                <c:pt idx="103">
                  <c:v>400</c:v>
                </c:pt>
                <c:pt idx="104">
                  <c:v>500</c:v>
                </c:pt>
                <c:pt idx="105">
                  <c:v>540</c:v>
                </c:pt>
                <c:pt idx="106">
                  <c:v>450</c:v>
                </c:pt>
                <c:pt idx="107">
                  <c:v>300</c:v>
                </c:pt>
                <c:pt idx="108">
                  <c:v>360</c:v>
                </c:pt>
                <c:pt idx="109">
                  <c:v>440</c:v>
                </c:pt>
                <c:pt idx="110">
                  <c:v>3480</c:v>
                </c:pt>
                <c:pt idx="111">
                  <c:v>4960</c:v>
                </c:pt>
                <c:pt idx="112">
                  <c:v>2460</c:v>
                </c:pt>
                <c:pt idx="113">
                  <c:v>2125</c:v>
                </c:pt>
                <c:pt idx="114">
                  <c:v>2600</c:v>
                </c:pt>
                <c:pt idx="115">
                  <c:v>1850</c:v>
                </c:pt>
                <c:pt idx="116">
                  <c:v>1650</c:v>
                </c:pt>
                <c:pt idx="117">
                  <c:v>1350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48-433F-8266-BD180025E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177695"/>
        <c:axId val="503193535"/>
      </c:scatterChart>
      <c:valAx>
        <c:axId val="50317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93535"/>
        <c:crosses val="autoZero"/>
        <c:crossBetween val="midCat"/>
      </c:valAx>
      <c:valAx>
        <c:axId val="50319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7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Revenue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3B94-4382-A49A-CA5ECDFAA191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114299</xdr:rowOff>
    </xdr:from>
    <xdr:to>
      <xdr:col>17</xdr:col>
      <xdr:colOff>76201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87992-A49B-5693-4053-C788C32F3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16</xdr:row>
      <xdr:rowOff>180973</xdr:rowOff>
    </xdr:from>
    <xdr:to>
      <xdr:col>18</xdr:col>
      <xdr:colOff>371474</xdr:colOff>
      <xdr:row>32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978FCC-9C97-54EF-7865-3DE75F759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180974</xdr:colOff>
      <xdr:row>33</xdr:row>
      <xdr:rowOff>47628</xdr:rowOff>
    </xdr:from>
    <xdr:to>
      <xdr:col>18</xdr:col>
      <xdr:colOff>247650</xdr:colOff>
      <xdr:row>50</xdr:row>
      <xdr:rowOff>180976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38262E9-F967-6644-FBDD-FD87835B5B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9374" y="6353178"/>
              <a:ext cx="8601076" cy="33718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C20E4-2330-408E-9849-0DFFEBE7B0E6}" name="Table1" displayName="Table1" ref="A1:K119" totalsRowShown="0">
  <autoFilter ref="A1:K119" xr:uid="{F9FC20E4-2330-408E-9849-0DFFEBE7B0E6}"/>
  <tableColumns count="11">
    <tableColumn id="1" xr3:uid="{B39CFD4D-BBCB-46F3-AD94-41CA505E4572}" name="Product"/>
    <tableColumn id="2" xr3:uid="{7E3D8E98-A13B-45DB-8AC5-50DDB91B77B5}" name="Category"/>
    <tableColumn id="3" xr3:uid="{152FD458-02F2-4964-8BF9-8E054C7F7121}" name="Price"/>
    <tableColumn id="4" xr3:uid="{477CA780-42D5-44BC-BF08-E53A1FA67B2D}" name="Quantity"/>
    <tableColumn id="5" xr3:uid="{77EE5F69-7492-4D19-B462-2035DA6D3D5A}" name="Revenue"/>
    <tableColumn id="6" xr3:uid="{65BD5176-3911-44A3-898F-B2286BB99D00}" name="Region"/>
    <tableColumn id="7" xr3:uid="{2DEE34AB-9456-4CEC-B22F-5CE31C2A9223}" name="Date" dataDxfId="22"/>
    <tableColumn id="8" xr3:uid="{13AB4A81-96BC-4C10-BB07-9CD29A2EFBA8}" name="MEAN"/>
    <tableColumn id="9" xr3:uid="{EEBF33E1-62DA-4C3B-B982-4ADCB1FACB33}" name="MEDIAN"/>
    <tableColumn id="10" xr3:uid="{34558BFC-7512-45FF-8ADC-756F2D3D944C}" name="Cor P vs Q"/>
    <tableColumn id="12" xr3:uid="{5460C1C7-595C-4BC7-AA94-CC8A40F53FB8}" name="Cor Q vs R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D90A72-F9DC-4B29-8978-236EFD1A0A25}" name="Table2" displayName="Table2" ref="L1:M15" totalsRowShown="0" dataDxfId="17" headerRowBorderDxfId="20" tableBorderDxfId="21">
  <autoFilter ref="L1:M15" xr:uid="{BBD90A72-F9DC-4B29-8978-236EFD1A0A25}"/>
  <tableColumns count="2">
    <tableColumn id="1" xr3:uid="{475BF661-7573-4C99-8876-3AC95BDDD5F1}" name="Revenue" dataDxfId="19"/>
    <tableColumn id="2" xr3:uid="{8E23D677-A8A4-4B44-913A-8344506BF493}" name="Descriptive statistic" dataDxfId="1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27811B-01D1-4CA9-AA4E-944FF28E1D31}" name="Table24" displayName="Table24" ref="A3:B17" totalsRowShown="0" dataDxfId="16" headerRowBorderDxfId="14" tableBorderDxfId="15">
  <autoFilter ref="A3:B17" xr:uid="{C027811B-01D1-4CA9-AA4E-944FF28E1D31}"/>
  <tableColumns count="2">
    <tableColumn id="1" xr3:uid="{623C7314-8FCC-453F-8B25-F7EF6266A283}" name="Revenue" dataDxfId="13"/>
    <tableColumn id="2" xr3:uid="{4D6BCDA1-0B1C-43FF-B9E9-87EE3414A1A9}" name="Descriptive statistic" dataDxfId="1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DF1C3D-D8D4-4EA6-93D3-ABD1A51CF19E}" name="Table5" displayName="Table5" ref="B19:G28" totalsRowShown="0" headerRowDxfId="1" dataDxfId="2" headerRowBorderDxfId="10" tableBorderDxfId="11" totalsRowBorderDxfId="9">
  <autoFilter ref="B19:G28" xr:uid="{F3DF1C3D-D8D4-4EA6-93D3-ABD1A51CF19E}"/>
  <tableColumns count="6">
    <tableColumn id="1" xr3:uid="{FD5F174F-C354-4377-9767-FF16E3FF5D2D}" name="1st quartile" dataDxfId="8"/>
    <tableColumn id="2" xr3:uid="{18BCFD14-1E6F-45D0-9CBA-DB24113D8EEA}" name="Column1" dataDxfId="7"/>
    <tableColumn id="3" xr3:uid="{E8BCCDF4-3564-44D4-BB63-0F36656A8B9D}" name="Product" dataDxfId="6"/>
    <tableColumn id="4" xr3:uid="{613040E7-D142-4317-9426-94214C982FE4}" name="Revenue" dataDxfId="5"/>
    <tableColumn id="5" xr3:uid="{A3CCDC60-C8CC-4CE4-AB45-1BAFF9BB5DCF}" name="Date" dataDxfId="4"/>
    <tableColumn id="6" xr3:uid="{2846EB9F-16E7-4F60-AA22-46D353366AF8}" name="Region" dataDxfId="3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615FEC-C768-4403-A9AF-8B1C773C6521}" name="Table6" displayName="Table6" ref="D3:E8" totalsRowShown="0">
  <autoFilter ref="D3:E8" xr:uid="{B4615FEC-C768-4403-A9AF-8B1C773C6521}"/>
  <tableColumns count="2">
    <tableColumn id="1" xr3:uid="{6B714277-2007-4878-BF1F-322EFFBBA4C8}" name="Variability Analysis" dataDxfId="0"/>
    <tableColumn id="2" xr3:uid="{3A7B69CA-1102-49CF-96F6-DEC2B05325F9}" name="Column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9DC4-5226-4121-809E-9F4CAC6F0884}">
  <sheetPr>
    <tabColor theme="1" tint="0.14999847407452621"/>
  </sheetPr>
  <dimension ref="A1:A119"/>
  <sheetViews>
    <sheetView workbookViewId="0">
      <selection activeCell="G11" sqref="G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DE52-A722-4494-BE9E-8F3FEAF3085D}">
  <sheetPr>
    <tabColor theme="6" tint="0.39997558519241921"/>
  </sheetPr>
  <dimension ref="A1:M119"/>
  <sheetViews>
    <sheetView workbookViewId="0">
      <selection activeCell="N12" sqref="N12"/>
    </sheetView>
  </sheetViews>
  <sheetFormatPr defaultRowHeight="15" x14ac:dyDescent="0.25"/>
  <cols>
    <col min="1" max="1" width="10.85546875" customWidth="1"/>
    <col min="2" max="2" width="11.140625" customWidth="1"/>
    <col min="3" max="3" width="11.28515625" customWidth="1"/>
    <col min="4" max="4" width="9" customWidth="1"/>
    <col min="5" max="5" width="10.7109375" customWidth="1"/>
    <col min="6" max="6" width="7.5703125" customWidth="1"/>
    <col min="7" max="7" width="11.28515625" customWidth="1"/>
    <col min="8" max="8" width="11.7109375" customWidth="1"/>
    <col min="9" max="9" width="10.85546875" customWidth="1"/>
    <col min="10" max="10" width="14.140625" customWidth="1"/>
    <col min="11" max="11" width="9.7109375" customWidth="1"/>
    <col min="12" max="12" width="17.28515625" customWidth="1"/>
    <col min="13" max="13" width="35.7109375" customWidth="1"/>
  </cols>
  <sheetData>
    <row r="1" spans="1:13" ht="15.75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142</v>
      </c>
      <c r="I1" t="s">
        <v>143</v>
      </c>
      <c r="J1" t="s">
        <v>181</v>
      </c>
      <c r="K1" t="s">
        <v>180</v>
      </c>
      <c r="L1" s="10" t="s">
        <v>123</v>
      </c>
      <c r="M1" s="11" t="s">
        <v>158</v>
      </c>
    </row>
    <row r="2" spans="1:13" x14ac:dyDescent="0.25">
      <c r="A2" t="s">
        <v>126</v>
      </c>
      <c r="B2" t="s">
        <v>127</v>
      </c>
      <c r="C2">
        <v>850</v>
      </c>
      <c r="D2">
        <v>4</v>
      </c>
      <c r="E2">
        <v>3400</v>
      </c>
      <c r="F2" t="s">
        <v>128</v>
      </c>
      <c r="G2" s="1">
        <v>45660</v>
      </c>
      <c r="H2">
        <f>AVERAGE(Table1[Revenue])</f>
        <v>2655</v>
      </c>
      <c r="I2">
        <f>MEDIAN(Table1[Revenue])</f>
        <v>1947.5</v>
      </c>
      <c r="J2" s="34">
        <f>CORREL(C2:C119,Table1[Quantity])</f>
        <v>-0.53835314667743439</v>
      </c>
      <c r="K2" s="34">
        <f>CORREL(Table1[Quantity],Table1[Revenue])</f>
        <v>-1.4556756690459707E-2</v>
      </c>
      <c r="L2" s="9"/>
      <c r="M2" s="9"/>
    </row>
    <row r="3" spans="1:13" x14ac:dyDescent="0.25">
      <c r="A3" t="s">
        <v>129</v>
      </c>
      <c r="B3" t="s">
        <v>127</v>
      </c>
      <c r="C3">
        <v>600</v>
      </c>
      <c r="D3">
        <v>8</v>
      </c>
      <c r="E3">
        <v>4800</v>
      </c>
      <c r="F3" t="s">
        <v>130</v>
      </c>
      <c r="G3" s="1">
        <v>45661</v>
      </c>
      <c r="L3" s="9" t="s">
        <v>144</v>
      </c>
      <c r="M3" s="9">
        <v>2655</v>
      </c>
    </row>
    <row r="4" spans="1:13" x14ac:dyDescent="0.25">
      <c r="A4" t="s">
        <v>131</v>
      </c>
      <c r="B4" t="s">
        <v>127</v>
      </c>
      <c r="C4">
        <v>400</v>
      </c>
      <c r="D4">
        <v>6</v>
      </c>
      <c r="E4">
        <v>2400</v>
      </c>
      <c r="F4" t="s">
        <v>132</v>
      </c>
      <c r="G4" s="1">
        <v>45662</v>
      </c>
      <c r="L4" s="9" t="s">
        <v>145</v>
      </c>
      <c r="M4" s="9">
        <v>246.26960977990043</v>
      </c>
    </row>
    <row r="5" spans="1:13" x14ac:dyDescent="0.25">
      <c r="A5" t="s">
        <v>133</v>
      </c>
      <c r="B5" t="s">
        <v>127</v>
      </c>
      <c r="C5">
        <v>80</v>
      </c>
      <c r="D5">
        <v>25</v>
      </c>
      <c r="E5">
        <v>2000</v>
      </c>
      <c r="F5" t="s">
        <v>134</v>
      </c>
      <c r="G5" s="1">
        <v>45663</v>
      </c>
      <c r="L5" s="9" t="s">
        <v>146</v>
      </c>
      <c r="M5" s="9">
        <v>1947.5</v>
      </c>
    </row>
    <row r="6" spans="1:13" x14ac:dyDescent="0.25">
      <c r="A6" t="s">
        <v>135</v>
      </c>
      <c r="B6" t="s">
        <v>127</v>
      </c>
      <c r="C6">
        <v>250</v>
      </c>
      <c r="D6">
        <v>10</v>
      </c>
      <c r="E6">
        <v>2500</v>
      </c>
      <c r="F6" t="s">
        <v>128</v>
      </c>
      <c r="G6" s="1">
        <v>45664</v>
      </c>
      <c r="L6" s="9" t="s">
        <v>147</v>
      </c>
      <c r="M6" s="9">
        <v>1680</v>
      </c>
    </row>
    <row r="7" spans="1:13" x14ac:dyDescent="0.25">
      <c r="A7" t="s">
        <v>136</v>
      </c>
      <c r="B7" t="s">
        <v>127</v>
      </c>
      <c r="C7">
        <v>180</v>
      </c>
      <c r="D7">
        <v>9</v>
      </c>
      <c r="E7">
        <v>1620</v>
      </c>
      <c r="F7" t="s">
        <v>130</v>
      </c>
      <c r="G7" s="1">
        <v>45665</v>
      </c>
      <c r="L7" s="9" t="s">
        <v>148</v>
      </c>
      <c r="M7" s="9">
        <v>2675.1727126925921</v>
      </c>
    </row>
    <row r="8" spans="1:13" x14ac:dyDescent="0.25">
      <c r="A8" t="s">
        <v>137</v>
      </c>
      <c r="B8" t="s">
        <v>127</v>
      </c>
      <c r="C8">
        <v>45</v>
      </c>
      <c r="D8">
        <v>35</v>
      </c>
      <c r="E8">
        <v>1575</v>
      </c>
      <c r="F8" t="s">
        <v>132</v>
      </c>
      <c r="G8" s="1">
        <v>45666</v>
      </c>
      <c r="L8" s="9" t="s">
        <v>149</v>
      </c>
      <c r="M8" s="9">
        <v>7156549.042735043</v>
      </c>
    </row>
    <row r="9" spans="1:13" x14ac:dyDescent="0.25">
      <c r="A9" t="s">
        <v>138</v>
      </c>
      <c r="B9" t="s">
        <v>127</v>
      </c>
      <c r="C9">
        <v>25</v>
      </c>
      <c r="D9">
        <v>50</v>
      </c>
      <c r="E9">
        <v>1250</v>
      </c>
      <c r="F9" t="s">
        <v>134</v>
      </c>
      <c r="G9" s="1">
        <v>45667</v>
      </c>
      <c r="L9" s="9" t="s">
        <v>150</v>
      </c>
      <c r="M9" s="9">
        <v>43.813832003166894</v>
      </c>
    </row>
    <row r="10" spans="1:13" x14ac:dyDescent="0.25">
      <c r="A10" t="s">
        <v>139</v>
      </c>
      <c r="B10" t="s">
        <v>140</v>
      </c>
      <c r="C10">
        <v>120</v>
      </c>
      <c r="D10">
        <v>12</v>
      </c>
      <c r="E10">
        <v>1440</v>
      </c>
      <c r="F10" t="s">
        <v>128</v>
      </c>
      <c r="G10" s="1">
        <v>45668</v>
      </c>
      <c r="L10" s="9" t="s">
        <v>151</v>
      </c>
      <c r="M10" s="9">
        <v>5.7761948350950743</v>
      </c>
    </row>
    <row r="11" spans="1:13" x14ac:dyDescent="0.25">
      <c r="A11" t="s">
        <v>141</v>
      </c>
      <c r="B11" t="s">
        <v>140</v>
      </c>
      <c r="C11">
        <v>220</v>
      </c>
      <c r="D11">
        <v>7</v>
      </c>
      <c r="E11">
        <v>1540</v>
      </c>
      <c r="F11" t="s">
        <v>130</v>
      </c>
      <c r="G11" s="1">
        <v>45669</v>
      </c>
      <c r="L11" s="9" t="s">
        <v>152</v>
      </c>
      <c r="M11" s="9">
        <v>24700</v>
      </c>
    </row>
    <row r="12" spans="1:13" x14ac:dyDescent="0.25">
      <c r="A12" t="s">
        <v>126</v>
      </c>
      <c r="B12" t="s">
        <v>127</v>
      </c>
      <c r="C12">
        <v>870</v>
      </c>
      <c r="D12">
        <v>3</v>
      </c>
      <c r="E12">
        <v>2610</v>
      </c>
      <c r="F12" t="s">
        <v>132</v>
      </c>
      <c r="G12" s="1">
        <v>45670</v>
      </c>
      <c r="L12" s="9" t="s">
        <v>153</v>
      </c>
      <c r="M12" s="9">
        <v>300</v>
      </c>
    </row>
    <row r="13" spans="1:13" x14ac:dyDescent="0.25">
      <c r="A13" t="s">
        <v>129</v>
      </c>
      <c r="B13" t="s">
        <v>127</v>
      </c>
      <c r="C13">
        <v>620</v>
      </c>
      <c r="D13">
        <v>7</v>
      </c>
      <c r="E13">
        <v>4340</v>
      </c>
      <c r="F13" t="s">
        <v>134</v>
      </c>
      <c r="G13" s="1">
        <v>45671</v>
      </c>
      <c r="L13" s="9" t="s">
        <v>154</v>
      </c>
      <c r="M13" s="9">
        <v>25000</v>
      </c>
    </row>
    <row r="14" spans="1:13" x14ac:dyDescent="0.25">
      <c r="A14" t="s">
        <v>131</v>
      </c>
      <c r="B14" t="s">
        <v>127</v>
      </c>
      <c r="C14">
        <v>390</v>
      </c>
      <c r="D14">
        <v>8</v>
      </c>
      <c r="E14">
        <v>3120</v>
      </c>
      <c r="F14" t="s">
        <v>128</v>
      </c>
      <c r="G14" s="1">
        <v>45672</v>
      </c>
      <c r="L14" s="9" t="s">
        <v>155</v>
      </c>
      <c r="M14" s="9">
        <v>313290</v>
      </c>
    </row>
    <row r="15" spans="1:13" x14ac:dyDescent="0.25">
      <c r="A15" t="s">
        <v>133</v>
      </c>
      <c r="B15" t="s">
        <v>127</v>
      </c>
      <c r="C15">
        <v>85</v>
      </c>
      <c r="D15">
        <v>22</v>
      </c>
      <c r="E15">
        <v>1870</v>
      </c>
      <c r="F15" t="s">
        <v>130</v>
      </c>
      <c r="G15" s="1">
        <v>45673</v>
      </c>
      <c r="L15" s="9" t="s">
        <v>156</v>
      </c>
      <c r="M15" s="9">
        <v>118</v>
      </c>
    </row>
    <row r="16" spans="1:13" x14ac:dyDescent="0.25">
      <c r="A16" t="s">
        <v>135</v>
      </c>
      <c r="B16" t="s">
        <v>127</v>
      </c>
      <c r="C16">
        <v>260</v>
      </c>
      <c r="D16">
        <v>9</v>
      </c>
      <c r="E16">
        <v>2340</v>
      </c>
      <c r="F16" t="s">
        <v>132</v>
      </c>
      <c r="G16" s="1">
        <v>45674</v>
      </c>
    </row>
    <row r="17" spans="1:7" x14ac:dyDescent="0.25">
      <c r="A17" t="s">
        <v>136</v>
      </c>
      <c r="B17" t="s">
        <v>127</v>
      </c>
      <c r="C17">
        <v>175</v>
      </c>
      <c r="D17">
        <v>11</v>
      </c>
      <c r="E17">
        <v>1925</v>
      </c>
      <c r="F17" t="s">
        <v>134</v>
      </c>
      <c r="G17" s="1">
        <v>45675</v>
      </c>
    </row>
    <row r="18" spans="1:7" x14ac:dyDescent="0.25">
      <c r="A18" t="s">
        <v>137</v>
      </c>
      <c r="B18" t="s">
        <v>127</v>
      </c>
      <c r="C18">
        <v>48</v>
      </c>
      <c r="D18">
        <v>30</v>
      </c>
      <c r="E18">
        <v>1440</v>
      </c>
      <c r="F18" t="s">
        <v>128</v>
      </c>
      <c r="G18" s="1">
        <v>45676</v>
      </c>
    </row>
    <row r="19" spans="1:7" x14ac:dyDescent="0.25">
      <c r="A19" t="s">
        <v>138</v>
      </c>
      <c r="B19" t="s">
        <v>127</v>
      </c>
      <c r="C19">
        <v>28</v>
      </c>
      <c r="D19">
        <v>45</v>
      </c>
      <c r="E19">
        <v>1260</v>
      </c>
      <c r="F19" t="s">
        <v>130</v>
      </c>
      <c r="G19" s="1">
        <v>45677</v>
      </c>
    </row>
    <row r="20" spans="1:7" x14ac:dyDescent="0.25">
      <c r="A20" t="s">
        <v>139</v>
      </c>
      <c r="B20" t="s">
        <v>140</v>
      </c>
      <c r="C20">
        <v>130</v>
      </c>
      <c r="D20">
        <v>10</v>
      </c>
      <c r="E20">
        <v>1300</v>
      </c>
      <c r="F20" t="s">
        <v>132</v>
      </c>
      <c r="G20" s="1">
        <v>45678</v>
      </c>
    </row>
    <row r="21" spans="1:7" x14ac:dyDescent="0.25">
      <c r="A21" t="s">
        <v>141</v>
      </c>
      <c r="B21" t="s">
        <v>140</v>
      </c>
      <c r="C21">
        <v>210</v>
      </c>
      <c r="D21">
        <v>8</v>
      </c>
      <c r="E21">
        <v>1680</v>
      </c>
      <c r="F21" t="s">
        <v>134</v>
      </c>
      <c r="G21" s="1">
        <v>45679</v>
      </c>
    </row>
    <row r="22" spans="1:7" x14ac:dyDescent="0.25">
      <c r="A22" t="s">
        <v>126</v>
      </c>
      <c r="B22" t="s">
        <v>127</v>
      </c>
      <c r="C22">
        <v>900</v>
      </c>
      <c r="D22">
        <v>5</v>
      </c>
      <c r="E22">
        <v>4500</v>
      </c>
      <c r="F22" t="s">
        <v>128</v>
      </c>
      <c r="G22" s="1">
        <v>45680</v>
      </c>
    </row>
    <row r="23" spans="1:7" x14ac:dyDescent="0.25">
      <c r="A23" t="s">
        <v>129</v>
      </c>
      <c r="B23" t="s">
        <v>127</v>
      </c>
      <c r="C23">
        <v>580</v>
      </c>
      <c r="D23">
        <v>9</v>
      </c>
      <c r="E23">
        <v>5220</v>
      </c>
      <c r="F23" t="s">
        <v>130</v>
      </c>
      <c r="G23" s="1">
        <v>45681</v>
      </c>
    </row>
    <row r="24" spans="1:7" x14ac:dyDescent="0.25">
      <c r="A24" t="s">
        <v>131</v>
      </c>
      <c r="B24" t="s">
        <v>127</v>
      </c>
      <c r="C24">
        <v>410</v>
      </c>
      <c r="D24">
        <v>7</v>
      </c>
      <c r="E24">
        <v>2870</v>
      </c>
      <c r="F24" t="s">
        <v>132</v>
      </c>
      <c r="G24" s="1">
        <v>45682</v>
      </c>
    </row>
    <row r="25" spans="1:7" x14ac:dyDescent="0.25">
      <c r="A25" t="s">
        <v>133</v>
      </c>
      <c r="B25" t="s">
        <v>127</v>
      </c>
      <c r="C25">
        <v>75</v>
      </c>
      <c r="D25">
        <v>28</v>
      </c>
      <c r="E25">
        <v>2100</v>
      </c>
      <c r="F25" t="s">
        <v>134</v>
      </c>
      <c r="G25" s="1">
        <v>45683</v>
      </c>
    </row>
    <row r="26" spans="1:7" x14ac:dyDescent="0.25">
      <c r="A26" t="s">
        <v>135</v>
      </c>
      <c r="B26" t="s">
        <v>127</v>
      </c>
      <c r="C26">
        <v>255</v>
      </c>
      <c r="D26">
        <v>11</v>
      </c>
      <c r="E26">
        <v>2805</v>
      </c>
      <c r="F26" t="s">
        <v>128</v>
      </c>
      <c r="G26" s="1">
        <v>45684</v>
      </c>
    </row>
    <row r="27" spans="1:7" x14ac:dyDescent="0.25">
      <c r="A27" t="s">
        <v>136</v>
      </c>
      <c r="B27" t="s">
        <v>127</v>
      </c>
      <c r="C27">
        <v>185</v>
      </c>
      <c r="D27">
        <v>10</v>
      </c>
      <c r="E27">
        <v>1850</v>
      </c>
      <c r="F27" t="s">
        <v>130</v>
      </c>
      <c r="G27" s="1">
        <v>45685</v>
      </c>
    </row>
    <row r="28" spans="1:7" x14ac:dyDescent="0.25">
      <c r="A28" t="s">
        <v>137</v>
      </c>
      <c r="B28" t="s">
        <v>127</v>
      </c>
      <c r="C28">
        <v>50</v>
      </c>
      <c r="D28">
        <v>32</v>
      </c>
      <c r="E28">
        <v>1600</v>
      </c>
      <c r="F28" t="s">
        <v>132</v>
      </c>
      <c r="G28" s="1">
        <v>45686</v>
      </c>
    </row>
    <row r="29" spans="1:7" x14ac:dyDescent="0.25">
      <c r="A29" t="s">
        <v>138</v>
      </c>
      <c r="B29" t="s">
        <v>127</v>
      </c>
      <c r="C29">
        <v>30</v>
      </c>
      <c r="D29">
        <v>42</v>
      </c>
      <c r="E29">
        <v>1260</v>
      </c>
      <c r="F29" t="s">
        <v>134</v>
      </c>
      <c r="G29" s="1">
        <v>45687</v>
      </c>
    </row>
    <row r="30" spans="1:7" x14ac:dyDescent="0.25">
      <c r="A30" t="s">
        <v>139</v>
      </c>
      <c r="B30" t="s">
        <v>140</v>
      </c>
      <c r="C30">
        <v>125</v>
      </c>
      <c r="D30">
        <v>11</v>
      </c>
      <c r="E30">
        <v>1375</v>
      </c>
      <c r="F30" t="s">
        <v>128</v>
      </c>
      <c r="G30" s="1">
        <v>45688</v>
      </c>
    </row>
    <row r="31" spans="1:7" x14ac:dyDescent="0.25">
      <c r="A31" t="s">
        <v>141</v>
      </c>
      <c r="B31" t="s">
        <v>140</v>
      </c>
      <c r="C31">
        <v>230</v>
      </c>
      <c r="D31">
        <v>6</v>
      </c>
      <c r="E31">
        <v>1380</v>
      </c>
      <c r="F31" t="s">
        <v>130</v>
      </c>
      <c r="G31" s="1">
        <v>45689</v>
      </c>
    </row>
    <row r="32" spans="1:7" x14ac:dyDescent="0.25">
      <c r="A32" t="s">
        <v>126</v>
      </c>
      <c r="B32" t="s">
        <v>127</v>
      </c>
      <c r="C32">
        <v>880</v>
      </c>
      <c r="D32">
        <v>4</v>
      </c>
      <c r="E32">
        <v>3520</v>
      </c>
      <c r="F32" t="s">
        <v>132</v>
      </c>
      <c r="G32" s="1">
        <v>45690</v>
      </c>
    </row>
    <row r="33" spans="1:7" x14ac:dyDescent="0.25">
      <c r="A33" t="s">
        <v>129</v>
      </c>
      <c r="B33" t="s">
        <v>127</v>
      </c>
      <c r="C33">
        <v>610</v>
      </c>
      <c r="D33">
        <v>8</v>
      </c>
      <c r="E33">
        <v>4880</v>
      </c>
      <c r="F33" t="s">
        <v>134</v>
      </c>
      <c r="G33" s="1">
        <v>45691</v>
      </c>
    </row>
    <row r="34" spans="1:7" x14ac:dyDescent="0.25">
      <c r="A34" t="s">
        <v>131</v>
      </c>
      <c r="B34" t="s">
        <v>127</v>
      </c>
      <c r="C34">
        <v>395</v>
      </c>
      <c r="D34">
        <v>9</v>
      </c>
      <c r="E34">
        <v>3555</v>
      </c>
      <c r="F34" t="s">
        <v>128</v>
      </c>
      <c r="G34" s="1">
        <v>45692</v>
      </c>
    </row>
    <row r="35" spans="1:7" x14ac:dyDescent="0.25">
      <c r="A35" t="s">
        <v>133</v>
      </c>
      <c r="B35" t="s">
        <v>127</v>
      </c>
      <c r="C35">
        <v>82</v>
      </c>
      <c r="D35">
        <v>24</v>
      </c>
      <c r="E35">
        <v>1968</v>
      </c>
      <c r="F35" t="s">
        <v>130</v>
      </c>
      <c r="G35" s="1">
        <v>45693</v>
      </c>
    </row>
    <row r="36" spans="1:7" x14ac:dyDescent="0.25">
      <c r="A36" t="s">
        <v>135</v>
      </c>
      <c r="B36" t="s">
        <v>127</v>
      </c>
      <c r="C36">
        <v>270</v>
      </c>
      <c r="D36">
        <v>8</v>
      </c>
      <c r="E36">
        <v>2160</v>
      </c>
      <c r="F36" t="s">
        <v>132</v>
      </c>
      <c r="G36" s="1">
        <v>45694</v>
      </c>
    </row>
    <row r="37" spans="1:7" x14ac:dyDescent="0.25">
      <c r="A37" t="s">
        <v>136</v>
      </c>
      <c r="B37" t="s">
        <v>127</v>
      </c>
      <c r="C37">
        <v>190</v>
      </c>
      <c r="D37">
        <v>9</v>
      </c>
      <c r="E37">
        <v>1710</v>
      </c>
      <c r="F37" t="s">
        <v>134</v>
      </c>
      <c r="G37" s="1">
        <v>45695</v>
      </c>
    </row>
    <row r="38" spans="1:7" x14ac:dyDescent="0.25">
      <c r="A38" t="s">
        <v>137</v>
      </c>
      <c r="B38" t="s">
        <v>127</v>
      </c>
      <c r="C38">
        <v>47</v>
      </c>
      <c r="D38">
        <v>33</v>
      </c>
      <c r="E38">
        <v>1551</v>
      </c>
      <c r="F38" t="s">
        <v>128</v>
      </c>
      <c r="G38" s="1">
        <v>45696</v>
      </c>
    </row>
    <row r="39" spans="1:7" x14ac:dyDescent="0.25">
      <c r="A39" t="s">
        <v>138</v>
      </c>
      <c r="B39" t="s">
        <v>127</v>
      </c>
      <c r="C39">
        <v>29</v>
      </c>
      <c r="D39">
        <v>44</v>
      </c>
      <c r="E39">
        <v>1276</v>
      </c>
      <c r="F39" t="s">
        <v>130</v>
      </c>
      <c r="G39" s="1">
        <v>45697</v>
      </c>
    </row>
    <row r="40" spans="1:7" x14ac:dyDescent="0.25">
      <c r="A40" t="s">
        <v>139</v>
      </c>
      <c r="B40" t="s">
        <v>140</v>
      </c>
      <c r="C40">
        <v>128</v>
      </c>
      <c r="D40">
        <v>12</v>
      </c>
      <c r="E40">
        <v>1536</v>
      </c>
      <c r="F40" t="s">
        <v>132</v>
      </c>
      <c r="G40" s="1">
        <v>45698</v>
      </c>
    </row>
    <row r="41" spans="1:7" x14ac:dyDescent="0.25">
      <c r="A41" t="s">
        <v>141</v>
      </c>
      <c r="B41" t="s">
        <v>140</v>
      </c>
      <c r="C41">
        <v>225</v>
      </c>
      <c r="D41">
        <v>7</v>
      </c>
      <c r="E41">
        <v>1575</v>
      </c>
      <c r="F41" t="s">
        <v>134</v>
      </c>
      <c r="G41" s="1">
        <v>45699</v>
      </c>
    </row>
    <row r="42" spans="1:7" x14ac:dyDescent="0.25">
      <c r="A42" t="s">
        <v>126</v>
      </c>
      <c r="B42" t="s">
        <v>127</v>
      </c>
      <c r="C42">
        <v>920</v>
      </c>
      <c r="D42">
        <v>4</v>
      </c>
      <c r="E42">
        <v>3680</v>
      </c>
      <c r="F42" t="s">
        <v>128</v>
      </c>
      <c r="G42" s="1">
        <v>45700</v>
      </c>
    </row>
    <row r="43" spans="1:7" x14ac:dyDescent="0.25">
      <c r="A43" t="s">
        <v>129</v>
      </c>
      <c r="B43" t="s">
        <v>127</v>
      </c>
      <c r="C43">
        <v>640</v>
      </c>
      <c r="D43">
        <v>7</v>
      </c>
      <c r="E43">
        <v>4480</v>
      </c>
      <c r="F43" t="s">
        <v>130</v>
      </c>
      <c r="G43" s="1">
        <v>45701</v>
      </c>
    </row>
    <row r="44" spans="1:7" x14ac:dyDescent="0.25">
      <c r="A44" t="s">
        <v>131</v>
      </c>
      <c r="B44" t="s">
        <v>127</v>
      </c>
      <c r="C44">
        <v>420</v>
      </c>
      <c r="D44">
        <v>6</v>
      </c>
      <c r="E44">
        <v>2520</v>
      </c>
      <c r="F44" t="s">
        <v>132</v>
      </c>
      <c r="G44" s="1">
        <v>45702</v>
      </c>
    </row>
    <row r="45" spans="1:7" x14ac:dyDescent="0.25">
      <c r="A45" t="s">
        <v>133</v>
      </c>
      <c r="B45" t="s">
        <v>127</v>
      </c>
      <c r="C45">
        <v>88</v>
      </c>
      <c r="D45">
        <v>23</v>
      </c>
      <c r="E45">
        <v>2024</v>
      </c>
      <c r="F45" t="s">
        <v>134</v>
      </c>
      <c r="G45" s="1">
        <v>45703</v>
      </c>
    </row>
    <row r="46" spans="1:7" x14ac:dyDescent="0.25">
      <c r="A46" t="s">
        <v>135</v>
      </c>
      <c r="B46" t="s">
        <v>127</v>
      </c>
      <c r="C46">
        <v>265</v>
      </c>
      <c r="D46">
        <v>10</v>
      </c>
      <c r="E46">
        <v>2650</v>
      </c>
      <c r="F46" t="s">
        <v>128</v>
      </c>
      <c r="G46" s="1">
        <v>45704</v>
      </c>
    </row>
    <row r="47" spans="1:7" x14ac:dyDescent="0.25">
      <c r="A47" t="s">
        <v>136</v>
      </c>
      <c r="B47" t="s">
        <v>127</v>
      </c>
      <c r="C47">
        <v>195</v>
      </c>
      <c r="D47">
        <v>8</v>
      </c>
      <c r="E47">
        <v>1560</v>
      </c>
      <c r="F47" t="s">
        <v>130</v>
      </c>
      <c r="G47" s="1">
        <v>45705</v>
      </c>
    </row>
    <row r="48" spans="1:7" x14ac:dyDescent="0.25">
      <c r="A48" t="s">
        <v>137</v>
      </c>
      <c r="B48" t="s">
        <v>127</v>
      </c>
      <c r="C48">
        <v>52</v>
      </c>
      <c r="D48">
        <v>31</v>
      </c>
      <c r="E48">
        <v>1612</v>
      </c>
      <c r="F48" t="s">
        <v>132</v>
      </c>
      <c r="G48" s="1">
        <v>45706</v>
      </c>
    </row>
    <row r="49" spans="1:7" x14ac:dyDescent="0.25">
      <c r="A49" t="s">
        <v>138</v>
      </c>
      <c r="B49" t="s">
        <v>127</v>
      </c>
      <c r="C49">
        <v>31</v>
      </c>
      <c r="D49">
        <v>40</v>
      </c>
      <c r="E49">
        <v>1240</v>
      </c>
      <c r="F49" t="s">
        <v>134</v>
      </c>
      <c r="G49" s="1">
        <v>45707</v>
      </c>
    </row>
    <row r="50" spans="1:7" x14ac:dyDescent="0.25">
      <c r="A50" t="s">
        <v>139</v>
      </c>
      <c r="B50" t="s">
        <v>140</v>
      </c>
      <c r="C50">
        <v>135</v>
      </c>
      <c r="D50">
        <v>9</v>
      </c>
      <c r="E50">
        <v>1215</v>
      </c>
      <c r="F50" t="s">
        <v>128</v>
      </c>
      <c r="G50" s="1">
        <v>45708</v>
      </c>
    </row>
    <row r="51" spans="1:7" x14ac:dyDescent="0.25">
      <c r="A51" t="s">
        <v>141</v>
      </c>
      <c r="B51" t="s">
        <v>140</v>
      </c>
      <c r="C51">
        <v>240</v>
      </c>
      <c r="D51">
        <v>7</v>
      </c>
      <c r="E51">
        <v>1680</v>
      </c>
      <c r="F51" t="s">
        <v>130</v>
      </c>
      <c r="G51" s="1">
        <v>45709</v>
      </c>
    </row>
    <row r="52" spans="1:7" x14ac:dyDescent="0.25">
      <c r="A52" t="s">
        <v>126</v>
      </c>
      <c r="B52" t="s">
        <v>127</v>
      </c>
      <c r="C52">
        <v>890</v>
      </c>
      <c r="D52">
        <v>5</v>
      </c>
      <c r="E52">
        <v>4450</v>
      </c>
      <c r="F52" t="s">
        <v>132</v>
      </c>
      <c r="G52" s="1">
        <v>45710</v>
      </c>
    </row>
    <row r="53" spans="1:7" x14ac:dyDescent="0.25">
      <c r="A53" t="s">
        <v>129</v>
      </c>
      <c r="B53" t="s">
        <v>127</v>
      </c>
      <c r="C53">
        <v>630</v>
      </c>
      <c r="D53">
        <v>8</v>
      </c>
      <c r="E53">
        <v>5040</v>
      </c>
      <c r="F53" t="s">
        <v>134</v>
      </c>
      <c r="G53" s="1">
        <v>45711</v>
      </c>
    </row>
    <row r="54" spans="1:7" x14ac:dyDescent="0.25">
      <c r="A54" t="s">
        <v>131</v>
      </c>
      <c r="B54" t="s">
        <v>127</v>
      </c>
      <c r="C54">
        <v>405</v>
      </c>
      <c r="D54">
        <v>7</v>
      </c>
      <c r="E54">
        <v>2835</v>
      </c>
      <c r="F54" t="s">
        <v>128</v>
      </c>
      <c r="G54" s="1">
        <v>45712</v>
      </c>
    </row>
    <row r="55" spans="1:7" x14ac:dyDescent="0.25">
      <c r="A55" t="s">
        <v>133</v>
      </c>
      <c r="B55" t="s">
        <v>127</v>
      </c>
      <c r="C55">
        <v>90</v>
      </c>
      <c r="D55">
        <v>20</v>
      </c>
      <c r="E55">
        <v>1800</v>
      </c>
      <c r="F55" t="s">
        <v>130</v>
      </c>
      <c r="G55" s="1">
        <v>45713</v>
      </c>
    </row>
    <row r="56" spans="1:7" x14ac:dyDescent="0.25">
      <c r="A56" t="s">
        <v>135</v>
      </c>
      <c r="B56" t="s">
        <v>127</v>
      </c>
      <c r="C56">
        <v>275</v>
      </c>
      <c r="D56">
        <v>9</v>
      </c>
      <c r="E56">
        <v>2475</v>
      </c>
      <c r="F56" t="s">
        <v>132</v>
      </c>
      <c r="G56" s="1">
        <v>45714</v>
      </c>
    </row>
    <row r="57" spans="1:7" x14ac:dyDescent="0.25">
      <c r="A57" t="s">
        <v>136</v>
      </c>
      <c r="B57" t="s">
        <v>127</v>
      </c>
      <c r="C57">
        <v>200</v>
      </c>
      <c r="D57">
        <v>9</v>
      </c>
      <c r="E57">
        <v>1800</v>
      </c>
      <c r="F57" t="s">
        <v>134</v>
      </c>
      <c r="G57" s="1">
        <v>45715</v>
      </c>
    </row>
    <row r="58" spans="1:7" x14ac:dyDescent="0.25">
      <c r="A58" t="s">
        <v>137</v>
      </c>
      <c r="B58" t="s">
        <v>127</v>
      </c>
      <c r="C58">
        <v>54</v>
      </c>
      <c r="D58">
        <v>29</v>
      </c>
      <c r="E58">
        <v>1566</v>
      </c>
      <c r="F58" t="s">
        <v>128</v>
      </c>
      <c r="G58" s="1">
        <v>45716</v>
      </c>
    </row>
    <row r="59" spans="1:7" x14ac:dyDescent="0.25">
      <c r="A59" t="s">
        <v>138</v>
      </c>
      <c r="B59" t="s">
        <v>127</v>
      </c>
      <c r="C59">
        <v>32</v>
      </c>
      <c r="D59">
        <v>41</v>
      </c>
      <c r="E59">
        <v>1312</v>
      </c>
      <c r="F59" t="s">
        <v>130</v>
      </c>
      <c r="G59" s="1">
        <v>45717</v>
      </c>
    </row>
    <row r="60" spans="1:7" x14ac:dyDescent="0.25">
      <c r="A60" t="s">
        <v>139</v>
      </c>
      <c r="B60" t="s">
        <v>140</v>
      </c>
      <c r="C60">
        <v>140</v>
      </c>
      <c r="D60">
        <v>10</v>
      </c>
      <c r="E60">
        <v>1400</v>
      </c>
      <c r="F60" t="s">
        <v>132</v>
      </c>
      <c r="G60" s="1">
        <v>45718</v>
      </c>
    </row>
    <row r="61" spans="1:7" x14ac:dyDescent="0.25">
      <c r="A61" t="s">
        <v>141</v>
      </c>
      <c r="B61" t="s">
        <v>140</v>
      </c>
      <c r="C61">
        <v>235</v>
      </c>
      <c r="D61">
        <v>8</v>
      </c>
      <c r="E61">
        <v>1880</v>
      </c>
      <c r="F61" t="s">
        <v>134</v>
      </c>
      <c r="G61" s="1">
        <v>45719</v>
      </c>
    </row>
    <row r="62" spans="1:7" x14ac:dyDescent="0.25">
      <c r="A62" t="s">
        <v>126</v>
      </c>
      <c r="B62" t="s">
        <v>127</v>
      </c>
      <c r="C62">
        <v>940</v>
      </c>
      <c r="D62">
        <v>4</v>
      </c>
      <c r="E62">
        <v>3760</v>
      </c>
      <c r="F62" t="s">
        <v>128</v>
      </c>
      <c r="G62" s="1">
        <v>45720</v>
      </c>
    </row>
    <row r="63" spans="1:7" x14ac:dyDescent="0.25">
      <c r="A63" t="s">
        <v>129</v>
      </c>
      <c r="B63" t="s">
        <v>127</v>
      </c>
      <c r="C63">
        <v>650</v>
      </c>
      <c r="D63">
        <v>8</v>
      </c>
      <c r="E63">
        <v>5200</v>
      </c>
      <c r="F63" t="s">
        <v>130</v>
      </c>
      <c r="G63" s="1">
        <v>45721</v>
      </c>
    </row>
    <row r="64" spans="1:7" x14ac:dyDescent="0.25">
      <c r="A64" t="s">
        <v>131</v>
      </c>
      <c r="B64" t="s">
        <v>127</v>
      </c>
      <c r="C64">
        <v>430</v>
      </c>
      <c r="D64">
        <v>7</v>
      </c>
      <c r="E64">
        <v>3010</v>
      </c>
      <c r="F64" t="s">
        <v>132</v>
      </c>
      <c r="G64" s="1">
        <v>45722</v>
      </c>
    </row>
    <row r="65" spans="1:7" x14ac:dyDescent="0.25">
      <c r="A65" t="s">
        <v>133</v>
      </c>
      <c r="B65" t="s">
        <v>127</v>
      </c>
      <c r="C65">
        <v>92</v>
      </c>
      <c r="D65">
        <v>21</v>
      </c>
      <c r="E65">
        <v>1932</v>
      </c>
      <c r="F65" t="s">
        <v>134</v>
      </c>
      <c r="G65" s="1">
        <v>45723</v>
      </c>
    </row>
    <row r="66" spans="1:7" x14ac:dyDescent="0.25">
      <c r="A66" t="s">
        <v>135</v>
      </c>
      <c r="B66" t="s">
        <v>127</v>
      </c>
      <c r="C66">
        <v>280</v>
      </c>
      <c r="D66">
        <v>10</v>
      </c>
      <c r="E66">
        <v>2800</v>
      </c>
      <c r="F66" t="s">
        <v>128</v>
      </c>
      <c r="G66" s="1">
        <v>45724</v>
      </c>
    </row>
    <row r="67" spans="1:7" x14ac:dyDescent="0.25">
      <c r="A67" t="s">
        <v>136</v>
      </c>
      <c r="B67" t="s">
        <v>127</v>
      </c>
      <c r="C67">
        <v>205</v>
      </c>
      <c r="D67">
        <v>9</v>
      </c>
      <c r="E67">
        <v>1845</v>
      </c>
      <c r="F67" t="s">
        <v>130</v>
      </c>
      <c r="G67" s="1">
        <v>45725</v>
      </c>
    </row>
    <row r="68" spans="1:7" x14ac:dyDescent="0.25">
      <c r="A68" t="s">
        <v>137</v>
      </c>
      <c r="B68" t="s">
        <v>127</v>
      </c>
      <c r="C68">
        <v>55</v>
      </c>
      <c r="D68">
        <v>30</v>
      </c>
      <c r="E68">
        <v>1650</v>
      </c>
      <c r="F68" t="s">
        <v>132</v>
      </c>
      <c r="G68" s="1">
        <v>45726</v>
      </c>
    </row>
    <row r="69" spans="1:7" x14ac:dyDescent="0.25">
      <c r="A69" t="s">
        <v>138</v>
      </c>
      <c r="B69" t="s">
        <v>127</v>
      </c>
      <c r="C69">
        <v>34</v>
      </c>
      <c r="D69">
        <v>39</v>
      </c>
      <c r="E69">
        <v>1326</v>
      </c>
      <c r="F69" t="s">
        <v>134</v>
      </c>
      <c r="G69" s="1">
        <v>45727</v>
      </c>
    </row>
    <row r="70" spans="1:7" x14ac:dyDescent="0.25">
      <c r="A70" t="s">
        <v>139</v>
      </c>
      <c r="B70" t="s">
        <v>140</v>
      </c>
      <c r="C70">
        <v>142</v>
      </c>
      <c r="D70">
        <v>11</v>
      </c>
      <c r="E70">
        <v>1562</v>
      </c>
      <c r="F70" t="s">
        <v>128</v>
      </c>
      <c r="G70" s="1">
        <v>45728</v>
      </c>
    </row>
    <row r="71" spans="1:7" x14ac:dyDescent="0.25">
      <c r="A71" t="s">
        <v>141</v>
      </c>
      <c r="B71" t="s">
        <v>140</v>
      </c>
      <c r="C71">
        <v>245</v>
      </c>
      <c r="D71">
        <v>7</v>
      </c>
      <c r="E71">
        <v>1715</v>
      </c>
      <c r="F71" t="s">
        <v>130</v>
      </c>
      <c r="G71" s="1">
        <v>45729</v>
      </c>
    </row>
    <row r="72" spans="1:7" x14ac:dyDescent="0.25">
      <c r="A72" t="s">
        <v>126</v>
      </c>
      <c r="B72" t="s">
        <v>127</v>
      </c>
      <c r="C72">
        <v>950</v>
      </c>
      <c r="D72">
        <v>5</v>
      </c>
      <c r="E72">
        <v>4750</v>
      </c>
      <c r="F72" t="s">
        <v>132</v>
      </c>
      <c r="G72" s="1">
        <v>45730</v>
      </c>
    </row>
    <row r="73" spans="1:7" x14ac:dyDescent="0.25">
      <c r="A73" t="s">
        <v>129</v>
      </c>
      <c r="B73" t="s">
        <v>127</v>
      </c>
      <c r="C73">
        <v>670</v>
      </c>
      <c r="D73">
        <v>7</v>
      </c>
      <c r="E73">
        <v>4690</v>
      </c>
      <c r="F73" t="s">
        <v>134</v>
      </c>
      <c r="G73" s="1">
        <v>45731</v>
      </c>
    </row>
    <row r="74" spans="1:7" x14ac:dyDescent="0.25">
      <c r="A74" t="s">
        <v>131</v>
      </c>
      <c r="B74" t="s">
        <v>127</v>
      </c>
      <c r="C74">
        <v>440</v>
      </c>
      <c r="D74">
        <v>8</v>
      </c>
      <c r="E74">
        <v>3520</v>
      </c>
      <c r="F74" t="s">
        <v>128</v>
      </c>
      <c r="G74" s="1">
        <v>45732</v>
      </c>
    </row>
    <row r="75" spans="1:7" x14ac:dyDescent="0.25">
      <c r="A75" t="s">
        <v>133</v>
      </c>
      <c r="B75" t="s">
        <v>127</v>
      </c>
      <c r="C75">
        <v>95</v>
      </c>
      <c r="D75">
        <v>22</v>
      </c>
      <c r="E75">
        <v>2090</v>
      </c>
      <c r="F75" t="s">
        <v>130</v>
      </c>
      <c r="G75" s="1">
        <v>45733</v>
      </c>
    </row>
    <row r="76" spans="1:7" x14ac:dyDescent="0.25">
      <c r="A76" t="s">
        <v>135</v>
      </c>
      <c r="B76" t="s">
        <v>127</v>
      </c>
      <c r="C76">
        <v>285</v>
      </c>
      <c r="D76">
        <v>9</v>
      </c>
      <c r="E76">
        <v>2565</v>
      </c>
      <c r="F76" t="s">
        <v>132</v>
      </c>
      <c r="G76" s="1">
        <v>45734</v>
      </c>
    </row>
    <row r="77" spans="1:7" x14ac:dyDescent="0.25">
      <c r="A77" t="s">
        <v>136</v>
      </c>
      <c r="B77" t="s">
        <v>127</v>
      </c>
      <c r="C77">
        <v>210</v>
      </c>
      <c r="D77">
        <v>8</v>
      </c>
      <c r="E77">
        <v>1680</v>
      </c>
      <c r="F77" t="s">
        <v>134</v>
      </c>
      <c r="G77" s="1">
        <v>45735</v>
      </c>
    </row>
    <row r="78" spans="1:7" x14ac:dyDescent="0.25">
      <c r="A78" t="s">
        <v>137</v>
      </c>
      <c r="B78" t="s">
        <v>127</v>
      </c>
      <c r="C78">
        <v>58</v>
      </c>
      <c r="D78">
        <v>28</v>
      </c>
      <c r="E78">
        <v>1624</v>
      </c>
      <c r="F78" t="s">
        <v>128</v>
      </c>
      <c r="G78" s="1">
        <v>45736</v>
      </c>
    </row>
    <row r="79" spans="1:7" x14ac:dyDescent="0.25">
      <c r="A79" t="s">
        <v>138</v>
      </c>
      <c r="B79" t="s">
        <v>127</v>
      </c>
      <c r="C79">
        <v>35</v>
      </c>
      <c r="D79">
        <v>42</v>
      </c>
      <c r="E79">
        <v>1470</v>
      </c>
      <c r="F79" t="s">
        <v>130</v>
      </c>
      <c r="G79" s="1">
        <v>45737</v>
      </c>
    </row>
    <row r="80" spans="1:7" x14ac:dyDescent="0.25">
      <c r="A80" t="s">
        <v>139</v>
      </c>
      <c r="B80" t="s">
        <v>140</v>
      </c>
      <c r="C80">
        <v>145</v>
      </c>
      <c r="D80">
        <v>10</v>
      </c>
      <c r="E80">
        <v>1450</v>
      </c>
      <c r="F80" t="s">
        <v>132</v>
      </c>
      <c r="G80" s="1">
        <v>45738</v>
      </c>
    </row>
    <row r="81" spans="1:7" x14ac:dyDescent="0.25">
      <c r="A81" t="s">
        <v>141</v>
      </c>
      <c r="B81" t="s">
        <v>140</v>
      </c>
      <c r="C81">
        <v>250</v>
      </c>
      <c r="D81">
        <v>8</v>
      </c>
      <c r="E81">
        <v>2000</v>
      </c>
      <c r="F81" t="s">
        <v>134</v>
      </c>
      <c r="G81" s="1">
        <v>45739</v>
      </c>
    </row>
    <row r="82" spans="1:7" x14ac:dyDescent="0.25">
      <c r="A82" t="s">
        <v>126</v>
      </c>
      <c r="B82" t="s">
        <v>127</v>
      </c>
      <c r="C82">
        <v>980</v>
      </c>
      <c r="D82">
        <v>4</v>
      </c>
      <c r="E82">
        <v>3920</v>
      </c>
      <c r="F82" t="s">
        <v>128</v>
      </c>
      <c r="G82" s="1">
        <v>45740</v>
      </c>
    </row>
    <row r="83" spans="1:7" x14ac:dyDescent="0.25">
      <c r="A83" t="s">
        <v>129</v>
      </c>
      <c r="B83" t="s">
        <v>127</v>
      </c>
      <c r="C83">
        <v>690</v>
      </c>
      <c r="D83">
        <v>8</v>
      </c>
      <c r="E83">
        <v>5520</v>
      </c>
      <c r="F83" t="s">
        <v>130</v>
      </c>
      <c r="G83" s="1">
        <v>45741</v>
      </c>
    </row>
    <row r="84" spans="1:7" x14ac:dyDescent="0.25">
      <c r="A84" t="s">
        <v>131</v>
      </c>
      <c r="B84" t="s">
        <v>127</v>
      </c>
      <c r="C84">
        <v>450</v>
      </c>
      <c r="D84">
        <v>7</v>
      </c>
      <c r="E84">
        <v>3150</v>
      </c>
      <c r="F84" t="s">
        <v>132</v>
      </c>
      <c r="G84" s="1">
        <v>45742</v>
      </c>
    </row>
    <row r="85" spans="1:7" x14ac:dyDescent="0.25">
      <c r="A85" t="s">
        <v>133</v>
      </c>
      <c r="B85" t="s">
        <v>127</v>
      </c>
      <c r="C85">
        <v>98</v>
      </c>
      <c r="D85">
        <v>20</v>
      </c>
      <c r="E85">
        <v>1960</v>
      </c>
      <c r="F85" t="s">
        <v>134</v>
      </c>
      <c r="G85" s="1">
        <v>45743</v>
      </c>
    </row>
    <row r="86" spans="1:7" x14ac:dyDescent="0.25">
      <c r="A86" t="s">
        <v>135</v>
      </c>
      <c r="B86" t="s">
        <v>127</v>
      </c>
      <c r="C86">
        <v>290</v>
      </c>
      <c r="D86">
        <v>10</v>
      </c>
      <c r="E86">
        <v>2900</v>
      </c>
      <c r="F86" t="s">
        <v>128</v>
      </c>
      <c r="G86" s="1">
        <v>45744</v>
      </c>
    </row>
    <row r="87" spans="1:7" x14ac:dyDescent="0.25">
      <c r="A87" t="s">
        <v>136</v>
      </c>
      <c r="B87" t="s">
        <v>127</v>
      </c>
      <c r="C87">
        <v>215</v>
      </c>
      <c r="D87">
        <v>9</v>
      </c>
      <c r="E87">
        <v>1935</v>
      </c>
      <c r="F87" t="s">
        <v>130</v>
      </c>
      <c r="G87" s="1">
        <v>45745</v>
      </c>
    </row>
    <row r="88" spans="1:7" x14ac:dyDescent="0.25">
      <c r="A88" t="s">
        <v>137</v>
      </c>
      <c r="B88" t="s">
        <v>127</v>
      </c>
      <c r="C88">
        <v>60</v>
      </c>
      <c r="D88">
        <v>29</v>
      </c>
      <c r="E88">
        <v>1740</v>
      </c>
      <c r="F88" t="s">
        <v>132</v>
      </c>
      <c r="G88" s="1">
        <v>45746</v>
      </c>
    </row>
    <row r="89" spans="1:7" x14ac:dyDescent="0.25">
      <c r="A89" t="s">
        <v>138</v>
      </c>
      <c r="B89" t="s">
        <v>127</v>
      </c>
      <c r="C89">
        <v>36</v>
      </c>
      <c r="D89">
        <v>41</v>
      </c>
      <c r="E89">
        <v>1476</v>
      </c>
      <c r="F89" t="s">
        <v>134</v>
      </c>
      <c r="G89" s="1">
        <v>45747</v>
      </c>
    </row>
    <row r="90" spans="1:7" x14ac:dyDescent="0.25">
      <c r="A90" t="s">
        <v>139</v>
      </c>
      <c r="B90" t="s">
        <v>140</v>
      </c>
      <c r="C90">
        <v>150</v>
      </c>
      <c r="D90">
        <v>11</v>
      </c>
      <c r="E90">
        <v>1650</v>
      </c>
      <c r="F90" t="s">
        <v>128</v>
      </c>
      <c r="G90" s="1">
        <v>45748</v>
      </c>
    </row>
    <row r="91" spans="1:7" x14ac:dyDescent="0.25">
      <c r="A91" t="s">
        <v>141</v>
      </c>
      <c r="B91" t="s">
        <v>140</v>
      </c>
      <c r="C91">
        <v>255</v>
      </c>
      <c r="D91">
        <v>8</v>
      </c>
      <c r="E91">
        <v>2040</v>
      </c>
      <c r="F91" t="s">
        <v>130</v>
      </c>
      <c r="G91" s="1">
        <v>45749</v>
      </c>
    </row>
    <row r="92" spans="1:7" x14ac:dyDescent="0.25">
      <c r="A92" t="s">
        <v>126</v>
      </c>
      <c r="B92" t="s">
        <v>127</v>
      </c>
      <c r="C92">
        <v>1000</v>
      </c>
      <c r="D92">
        <v>25</v>
      </c>
      <c r="E92">
        <v>25000</v>
      </c>
      <c r="F92" t="s">
        <v>132</v>
      </c>
      <c r="G92" s="1">
        <v>45750</v>
      </c>
    </row>
    <row r="93" spans="1:7" x14ac:dyDescent="0.25">
      <c r="A93" t="s">
        <v>129</v>
      </c>
      <c r="B93" t="s">
        <v>127</v>
      </c>
      <c r="C93">
        <v>700</v>
      </c>
      <c r="D93">
        <v>20</v>
      </c>
      <c r="E93">
        <v>14000</v>
      </c>
      <c r="F93" t="s">
        <v>134</v>
      </c>
      <c r="G93" s="1">
        <v>45751</v>
      </c>
    </row>
    <row r="94" spans="1:7" x14ac:dyDescent="0.25">
      <c r="A94" t="s">
        <v>131</v>
      </c>
      <c r="B94" t="s">
        <v>127</v>
      </c>
      <c r="C94">
        <v>460</v>
      </c>
      <c r="D94">
        <v>15</v>
      </c>
      <c r="E94">
        <v>6900</v>
      </c>
      <c r="F94" t="s">
        <v>128</v>
      </c>
      <c r="G94" s="1">
        <v>45752</v>
      </c>
    </row>
    <row r="95" spans="1:7" x14ac:dyDescent="0.25">
      <c r="A95" t="s">
        <v>133</v>
      </c>
      <c r="B95" t="s">
        <v>127</v>
      </c>
      <c r="C95">
        <v>100</v>
      </c>
      <c r="D95">
        <v>60</v>
      </c>
      <c r="E95">
        <v>6000</v>
      </c>
      <c r="F95" t="s">
        <v>130</v>
      </c>
      <c r="G95" s="1">
        <v>45753</v>
      </c>
    </row>
    <row r="96" spans="1:7" x14ac:dyDescent="0.25">
      <c r="A96" t="s">
        <v>135</v>
      </c>
      <c r="B96" t="s">
        <v>127</v>
      </c>
      <c r="C96">
        <v>295</v>
      </c>
      <c r="D96">
        <v>12</v>
      </c>
      <c r="E96">
        <v>3540</v>
      </c>
      <c r="F96" t="s">
        <v>132</v>
      </c>
      <c r="G96" s="1">
        <v>45754</v>
      </c>
    </row>
    <row r="97" spans="1:7" x14ac:dyDescent="0.25">
      <c r="A97" t="s">
        <v>136</v>
      </c>
      <c r="B97" t="s">
        <v>127</v>
      </c>
      <c r="C97">
        <v>220</v>
      </c>
      <c r="D97">
        <v>14</v>
      </c>
      <c r="E97">
        <v>3080</v>
      </c>
      <c r="F97" t="s">
        <v>134</v>
      </c>
      <c r="G97" s="1">
        <v>45755</v>
      </c>
    </row>
    <row r="98" spans="1:7" x14ac:dyDescent="0.25">
      <c r="A98" t="s">
        <v>137</v>
      </c>
      <c r="B98" t="s">
        <v>127</v>
      </c>
      <c r="C98">
        <v>62</v>
      </c>
      <c r="D98">
        <v>50</v>
      </c>
      <c r="E98">
        <v>3100</v>
      </c>
      <c r="F98" t="s">
        <v>128</v>
      </c>
      <c r="G98" s="1">
        <v>45756</v>
      </c>
    </row>
    <row r="99" spans="1:7" x14ac:dyDescent="0.25">
      <c r="A99" t="s">
        <v>138</v>
      </c>
      <c r="B99" t="s">
        <v>127</v>
      </c>
      <c r="C99">
        <v>38</v>
      </c>
      <c r="D99">
        <v>70</v>
      </c>
      <c r="E99">
        <v>2660</v>
      </c>
      <c r="F99" t="s">
        <v>130</v>
      </c>
      <c r="G99" s="1">
        <v>45757</v>
      </c>
    </row>
    <row r="100" spans="1:7" x14ac:dyDescent="0.25">
      <c r="A100" t="s">
        <v>139</v>
      </c>
      <c r="B100" t="s">
        <v>140</v>
      </c>
      <c r="C100">
        <v>155</v>
      </c>
      <c r="D100">
        <v>15</v>
      </c>
      <c r="E100">
        <v>2325</v>
      </c>
      <c r="F100" t="s">
        <v>132</v>
      </c>
      <c r="G100" s="1">
        <v>45758</v>
      </c>
    </row>
    <row r="101" spans="1:7" x14ac:dyDescent="0.25">
      <c r="A101" t="s">
        <v>141</v>
      </c>
      <c r="B101" t="s">
        <v>140</v>
      </c>
      <c r="C101">
        <v>260</v>
      </c>
      <c r="D101">
        <v>12</v>
      </c>
      <c r="E101">
        <v>3120</v>
      </c>
      <c r="F101" t="s">
        <v>134</v>
      </c>
      <c r="G101" s="1">
        <v>45759</v>
      </c>
    </row>
    <row r="102" spans="1:7" x14ac:dyDescent="0.25">
      <c r="A102" t="s">
        <v>126</v>
      </c>
      <c r="B102" t="s">
        <v>127</v>
      </c>
      <c r="C102">
        <v>850</v>
      </c>
      <c r="D102">
        <v>1</v>
      </c>
      <c r="E102">
        <v>850</v>
      </c>
      <c r="F102" t="s">
        <v>128</v>
      </c>
      <c r="G102" s="1">
        <v>45760</v>
      </c>
    </row>
    <row r="103" spans="1:7" x14ac:dyDescent="0.25">
      <c r="A103" t="s">
        <v>129</v>
      </c>
      <c r="B103" t="s">
        <v>127</v>
      </c>
      <c r="C103">
        <v>600</v>
      </c>
      <c r="D103">
        <v>2</v>
      </c>
      <c r="E103">
        <v>1200</v>
      </c>
      <c r="F103" t="s">
        <v>130</v>
      </c>
      <c r="G103" s="1">
        <v>45761</v>
      </c>
    </row>
    <row r="104" spans="1:7" x14ac:dyDescent="0.25">
      <c r="A104" t="s">
        <v>131</v>
      </c>
      <c r="B104" t="s">
        <v>127</v>
      </c>
      <c r="C104">
        <v>400</v>
      </c>
      <c r="D104">
        <v>2</v>
      </c>
      <c r="E104">
        <v>800</v>
      </c>
      <c r="F104" t="s">
        <v>132</v>
      </c>
      <c r="G104" s="1">
        <v>45762</v>
      </c>
    </row>
    <row r="105" spans="1:7" x14ac:dyDescent="0.25">
      <c r="A105" t="s">
        <v>133</v>
      </c>
      <c r="B105" t="s">
        <v>127</v>
      </c>
      <c r="C105">
        <v>80</v>
      </c>
      <c r="D105">
        <v>5</v>
      </c>
      <c r="E105">
        <v>400</v>
      </c>
      <c r="F105" t="s">
        <v>134</v>
      </c>
      <c r="G105" s="1">
        <v>45763</v>
      </c>
    </row>
    <row r="106" spans="1:7" x14ac:dyDescent="0.25">
      <c r="A106" t="s">
        <v>135</v>
      </c>
      <c r="B106" t="s">
        <v>127</v>
      </c>
      <c r="C106">
        <v>250</v>
      </c>
      <c r="D106">
        <v>2</v>
      </c>
      <c r="E106">
        <v>500</v>
      </c>
      <c r="F106" t="s">
        <v>128</v>
      </c>
      <c r="G106" s="1">
        <v>45764</v>
      </c>
    </row>
    <row r="107" spans="1:7" x14ac:dyDescent="0.25">
      <c r="A107" t="s">
        <v>136</v>
      </c>
      <c r="B107" t="s">
        <v>127</v>
      </c>
      <c r="C107">
        <v>180</v>
      </c>
      <c r="D107">
        <v>3</v>
      </c>
      <c r="E107">
        <v>540</v>
      </c>
      <c r="F107" t="s">
        <v>130</v>
      </c>
      <c r="G107" s="1">
        <v>45765</v>
      </c>
    </row>
    <row r="108" spans="1:7" x14ac:dyDescent="0.25">
      <c r="A108" t="s">
        <v>137</v>
      </c>
      <c r="B108" t="s">
        <v>127</v>
      </c>
      <c r="C108">
        <v>45</v>
      </c>
      <c r="D108">
        <v>10</v>
      </c>
      <c r="E108">
        <v>450</v>
      </c>
      <c r="F108" t="s">
        <v>132</v>
      </c>
      <c r="G108" s="1">
        <v>45766</v>
      </c>
    </row>
    <row r="109" spans="1:7" x14ac:dyDescent="0.25">
      <c r="A109" t="s">
        <v>138</v>
      </c>
      <c r="B109" t="s">
        <v>127</v>
      </c>
      <c r="C109">
        <v>25</v>
      </c>
      <c r="D109">
        <v>12</v>
      </c>
      <c r="E109">
        <v>300</v>
      </c>
      <c r="F109" t="s">
        <v>134</v>
      </c>
      <c r="G109" s="1">
        <v>45767</v>
      </c>
    </row>
    <row r="110" spans="1:7" x14ac:dyDescent="0.25">
      <c r="A110" t="s">
        <v>139</v>
      </c>
      <c r="B110" t="s">
        <v>140</v>
      </c>
      <c r="C110">
        <v>120</v>
      </c>
      <c r="D110">
        <v>3</v>
      </c>
      <c r="E110">
        <v>360</v>
      </c>
      <c r="F110" t="s">
        <v>128</v>
      </c>
      <c r="G110" s="1">
        <v>45768</v>
      </c>
    </row>
    <row r="111" spans="1:7" x14ac:dyDescent="0.25">
      <c r="A111" t="s">
        <v>141</v>
      </c>
      <c r="B111" t="s">
        <v>140</v>
      </c>
      <c r="C111">
        <v>220</v>
      </c>
      <c r="D111">
        <v>2</v>
      </c>
      <c r="E111">
        <v>440</v>
      </c>
      <c r="F111" t="s">
        <v>130</v>
      </c>
      <c r="G111" s="1">
        <v>45769</v>
      </c>
    </row>
    <row r="112" spans="1:7" x14ac:dyDescent="0.25">
      <c r="A112" t="s">
        <v>126</v>
      </c>
      <c r="B112" t="s">
        <v>127</v>
      </c>
      <c r="C112">
        <v>870</v>
      </c>
      <c r="D112">
        <v>4</v>
      </c>
      <c r="E112">
        <v>3480</v>
      </c>
      <c r="F112" t="s">
        <v>132</v>
      </c>
      <c r="G112" s="1">
        <v>45770</v>
      </c>
    </row>
    <row r="113" spans="1:7" x14ac:dyDescent="0.25">
      <c r="A113" t="s">
        <v>129</v>
      </c>
      <c r="B113" t="s">
        <v>127</v>
      </c>
      <c r="C113">
        <v>620</v>
      </c>
      <c r="D113">
        <v>8</v>
      </c>
      <c r="E113">
        <v>4960</v>
      </c>
      <c r="F113" t="s">
        <v>134</v>
      </c>
      <c r="G113" s="1">
        <v>45771</v>
      </c>
    </row>
    <row r="114" spans="1:7" x14ac:dyDescent="0.25">
      <c r="A114" t="s">
        <v>131</v>
      </c>
      <c r="B114" t="s">
        <v>127</v>
      </c>
      <c r="C114">
        <v>410</v>
      </c>
      <c r="D114">
        <v>6</v>
      </c>
      <c r="E114">
        <v>2460</v>
      </c>
      <c r="F114" t="s">
        <v>128</v>
      </c>
      <c r="G114" s="1">
        <v>45772</v>
      </c>
    </row>
    <row r="115" spans="1:7" x14ac:dyDescent="0.25">
      <c r="A115" t="s">
        <v>133</v>
      </c>
      <c r="B115" t="s">
        <v>127</v>
      </c>
      <c r="C115">
        <v>85</v>
      </c>
      <c r="D115">
        <v>25</v>
      </c>
      <c r="E115">
        <v>2125</v>
      </c>
      <c r="F115" t="s">
        <v>130</v>
      </c>
      <c r="G115" s="1">
        <v>45773</v>
      </c>
    </row>
    <row r="116" spans="1:7" x14ac:dyDescent="0.25">
      <c r="A116" t="s">
        <v>135</v>
      </c>
      <c r="B116" t="s">
        <v>127</v>
      </c>
      <c r="C116">
        <v>260</v>
      </c>
      <c r="D116">
        <v>10</v>
      </c>
      <c r="E116">
        <v>2600</v>
      </c>
      <c r="F116" t="s">
        <v>132</v>
      </c>
      <c r="G116" s="1">
        <v>45774</v>
      </c>
    </row>
    <row r="117" spans="1:7" x14ac:dyDescent="0.25">
      <c r="A117" t="s">
        <v>136</v>
      </c>
      <c r="B117" t="s">
        <v>127</v>
      </c>
      <c r="C117">
        <v>185</v>
      </c>
      <c r="D117">
        <v>10</v>
      </c>
      <c r="E117">
        <v>1850</v>
      </c>
      <c r="F117" t="s">
        <v>134</v>
      </c>
      <c r="G117" s="1">
        <v>45775</v>
      </c>
    </row>
    <row r="118" spans="1:7" x14ac:dyDescent="0.25">
      <c r="A118" t="s">
        <v>137</v>
      </c>
      <c r="B118" t="s">
        <v>127</v>
      </c>
      <c r="C118">
        <v>50</v>
      </c>
      <c r="D118">
        <v>33</v>
      </c>
      <c r="E118">
        <v>1650</v>
      </c>
      <c r="F118" t="s">
        <v>128</v>
      </c>
      <c r="G118" s="1">
        <v>45776</v>
      </c>
    </row>
    <row r="119" spans="1:7" x14ac:dyDescent="0.25">
      <c r="A119" t="s">
        <v>138</v>
      </c>
      <c r="B119" t="s">
        <v>127</v>
      </c>
      <c r="C119">
        <v>30</v>
      </c>
      <c r="D119">
        <v>45</v>
      </c>
      <c r="E119">
        <v>1350</v>
      </c>
      <c r="F119" t="s">
        <v>130</v>
      </c>
      <c r="G119" s="1">
        <v>45777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6D11-8370-47E9-8F99-4C733C73498F}">
  <sheetPr>
    <tabColor theme="7" tint="-0.249977111117893"/>
  </sheetPr>
  <dimension ref="A3:L138"/>
  <sheetViews>
    <sheetView tabSelected="1" zoomScale="90" zoomScaleNormal="90" workbookViewId="0">
      <selection activeCell="D11" sqref="D11"/>
    </sheetView>
  </sheetViews>
  <sheetFormatPr defaultRowHeight="15" x14ac:dyDescent="0.25"/>
  <cols>
    <col min="1" max="1" width="26" customWidth="1"/>
    <col min="2" max="2" width="33" customWidth="1"/>
    <col min="3" max="3" width="3.5703125" customWidth="1"/>
    <col min="4" max="4" width="52.7109375" customWidth="1"/>
    <col min="5" max="5" width="12.85546875" customWidth="1"/>
    <col min="6" max="6" width="46" customWidth="1"/>
    <col min="8" max="8" width="42.140625" customWidth="1"/>
  </cols>
  <sheetData>
    <row r="3" spans="1:6" ht="24" x14ac:dyDescent="0.25">
      <c r="A3" s="10" t="s">
        <v>123</v>
      </c>
      <c r="B3" s="11" t="s">
        <v>158</v>
      </c>
      <c r="D3" s="12" t="s">
        <v>179</v>
      </c>
      <c r="E3" t="s">
        <v>157</v>
      </c>
      <c r="F3" s="12"/>
    </row>
    <row r="4" spans="1:6" ht="24" x14ac:dyDescent="0.25">
      <c r="A4" s="9"/>
      <c r="B4" s="9"/>
      <c r="D4" s="13" t="s">
        <v>162</v>
      </c>
      <c r="F4" s="12"/>
    </row>
    <row r="5" spans="1:6" ht="24" x14ac:dyDescent="0.25">
      <c r="A5" s="9" t="s">
        <v>144</v>
      </c>
      <c r="B5" s="9">
        <v>2655</v>
      </c>
      <c r="D5" s="13" t="s">
        <v>159</v>
      </c>
      <c r="F5" s="12"/>
    </row>
    <row r="6" spans="1:6" ht="24" x14ac:dyDescent="0.25">
      <c r="A6" s="9" t="s">
        <v>145</v>
      </c>
      <c r="B6" s="9">
        <v>246.26960977990043</v>
      </c>
      <c r="D6" s="14" t="s">
        <v>160</v>
      </c>
      <c r="F6" s="12"/>
    </row>
    <row r="7" spans="1:6" ht="24" x14ac:dyDescent="0.25">
      <c r="A7" s="9" t="s">
        <v>146</v>
      </c>
      <c r="B7" s="9">
        <v>1947.5</v>
      </c>
      <c r="D7" s="14" t="s">
        <v>163</v>
      </c>
      <c r="F7" s="12"/>
    </row>
    <row r="8" spans="1:6" ht="24" x14ac:dyDescent="0.25">
      <c r="A8" s="9" t="s">
        <v>147</v>
      </c>
      <c r="B8" s="9">
        <v>1680</v>
      </c>
      <c r="D8" s="14" t="s">
        <v>161</v>
      </c>
      <c r="F8" s="12"/>
    </row>
    <row r="9" spans="1:6" ht="24" x14ac:dyDescent="0.25">
      <c r="A9" s="9" t="s">
        <v>148</v>
      </c>
      <c r="B9" s="9">
        <v>2675.1727126925921</v>
      </c>
      <c r="F9" s="12"/>
    </row>
    <row r="10" spans="1:6" x14ac:dyDescent="0.25">
      <c r="A10" s="9" t="s">
        <v>149</v>
      </c>
      <c r="B10" s="9">
        <v>7156549.042735043</v>
      </c>
    </row>
    <row r="11" spans="1:6" x14ac:dyDescent="0.25">
      <c r="A11" s="9" t="s">
        <v>150</v>
      </c>
      <c r="B11" s="9">
        <v>43.813832003166894</v>
      </c>
    </row>
    <row r="12" spans="1:6" x14ac:dyDescent="0.25">
      <c r="A12" s="9" t="s">
        <v>151</v>
      </c>
      <c r="B12" s="9">
        <v>5.7761948350950743</v>
      </c>
    </row>
    <row r="13" spans="1:6" x14ac:dyDescent="0.25">
      <c r="A13" s="9" t="s">
        <v>152</v>
      </c>
      <c r="B13" s="9">
        <v>24700</v>
      </c>
    </row>
    <row r="14" spans="1:6" x14ac:dyDescent="0.25">
      <c r="A14" s="9" t="s">
        <v>153</v>
      </c>
      <c r="B14" s="9">
        <v>300</v>
      </c>
    </row>
    <row r="15" spans="1:6" x14ac:dyDescent="0.25">
      <c r="A15" s="9" t="s">
        <v>154</v>
      </c>
      <c r="B15" s="9">
        <v>25000</v>
      </c>
    </row>
    <row r="16" spans="1:6" x14ac:dyDescent="0.25">
      <c r="A16" s="9" t="s">
        <v>155</v>
      </c>
      <c r="B16" s="9">
        <v>313290</v>
      </c>
    </row>
    <row r="17" spans="1:12" x14ac:dyDescent="0.25">
      <c r="A17" s="9" t="s">
        <v>156</v>
      </c>
      <c r="B17" s="9">
        <v>118</v>
      </c>
    </row>
    <row r="19" spans="1:12" ht="15.75" thickBot="1" x14ac:dyDescent="0.3">
      <c r="A19" s="3" t="s">
        <v>123</v>
      </c>
      <c r="B19" s="23" t="s">
        <v>164</v>
      </c>
      <c r="C19" s="24" t="s">
        <v>157</v>
      </c>
      <c r="D19" s="25" t="s">
        <v>119</v>
      </c>
      <c r="E19" s="25" t="s">
        <v>123</v>
      </c>
      <c r="F19" s="25" t="s">
        <v>125</v>
      </c>
      <c r="G19" s="26" t="s">
        <v>124</v>
      </c>
    </row>
    <row r="20" spans="1:12" ht="15.75" thickTop="1" x14ac:dyDescent="0.25">
      <c r="A20" s="6">
        <v>3400</v>
      </c>
      <c r="B20" s="20">
        <f>QUARTILE(A20:A138,1)</f>
        <v>1542.75</v>
      </c>
      <c r="C20" s="16"/>
      <c r="D20" s="17" t="s">
        <v>129</v>
      </c>
      <c r="E20" s="18">
        <v>5520</v>
      </c>
      <c r="F20" s="19">
        <v>45741</v>
      </c>
      <c r="G20" s="21" t="s">
        <v>130</v>
      </c>
    </row>
    <row r="21" spans="1:12" x14ac:dyDescent="0.25">
      <c r="A21" s="7">
        <v>4800</v>
      </c>
      <c r="B21" s="20" t="s">
        <v>165</v>
      </c>
      <c r="C21" s="16"/>
      <c r="D21" s="17" t="s">
        <v>133</v>
      </c>
      <c r="E21" s="18">
        <v>6000</v>
      </c>
      <c r="F21" s="19">
        <v>45753</v>
      </c>
      <c r="G21" s="21" t="s">
        <v>130</v>
      </c>
    </row>
    <row r="22" spans="1:12" x14ac:dyDescent="0.25">
      <c r="A22" s="6">
        <v>2400</v>
      </c>
      <c r="B22" s="20">
        <f>_xlfn.QUARTILE.INC(A20:A138,3)</f>
        <v>3095</v>
      </c>
      <c r="C22" s="16"/>
      <c r="D22" s="17" t="s">
        <v>131</v>
      </c>
      <c r="E22" s="18">
        <v>6900</v>
      </c>
      <c r="F22" s="19">
        <v>45752</v>
      </c>
      <c r="G22" s="21" t="s">
        <v>128</v>
      </c>
    </row>
    <row r="23" spans="1:12" x14ac:dyDescent="0.25">
      <c r="A23" s="7">
        <v>2000</v>
      </c>
      <c r="B23" s="20" t="s">
        <v>166</v>
      </c>
      <c r="C23" s="16"/>
      <c r="D23" s="17" t="s">
        <v>129</v>
      </c>
      <c r="E23" s="18">
        <v>14000</v>
      </c>
      <c r="F23" s="19">
        <v>45751</v>
      </c>
      <c r="G23" s="21" t="s">
        <v>134</v>
      </c>
      <c r="I23" s="13"/>
      <c r="J23" s="13"/>
      <c r="K23" s="13"/>
      <c r="L23" s="13"/>
    </row>
    <row r="24" spans="1:12" x14ac:dyDescent="0.25">
      <c r="A24" s="6">
        <v>2500</v>
      </c>
      <c r="B24" s="20">
        <f>B22-B20</f>
        <v>1552.25</v>
      </c>
      <c r="C24" s="16"/>
      <c r="D24" s="17" t="s">
        <v>126</v>
      </c>
      <c r="E24" s="18">
        <v>25000</v>
      </c>
      <c r="F24" s="19">
        <v>45750</v>
      </c>
      <c r="G24" s="21" t="s">
        <v>132</v>
      </c>
      <c r="I24" s="13"/>
      <c r="J24" s="13"/>
      <c r="K24" s="13"/>
      <c r="L24" s="13"/>
    </row>
    <row r="25" spans="1:12" x14ac:dyDescent="0.25">
      <c r="A25" s="7">
        <v>1620</v>
      </c>
      <c r="B25" s="20" t="s">
        <v>167</v>
      </c>
      <c r="C25" s="16"/>
      <c r="D25" s="15"/>
      <c r="E25" s="15"/>
      <c r="F25" s="15"/>
      <c r="G25" s="22"/>
      <c r="I25" s="13"/>
      <c r="J25" s="13"/>
      <c r="K25" s="13"/>
      <c r="L25" s="13"/>
    </row>
    <row r="26" spans="1:12" x14ac:dyDescent="0.25">
      <c r="A26" s="6">
        <v>1575</v>
      </c>
      <c r="B26" s="20">
        <f>B20-1.5*(B24)</f>
        <v>-785.625</v>
      </c>
      <c r="C26" s="16"/>
      <c r="D26" s="15"/>
      <c r="E26" s="15"/>
      <c r="F26" s="15"/>
      <c r="G26" s="22"/>
      <c r="I26" s="13"/>
      <c r="J26" s="13"/>
      <c r="K26" s="13"/>
      <c r="L26" s="13"/>
    </row>
    <row r="27" spans="1:12" x14ac:dyDescent="0.25">
      <c r="A27" s="7">
        <v>1250</v>
      </c>
      <c r="B27" s="20" t="s">
        <v>168</v>
      </c>
      <c r="C27" s="16"/>
      <c r="D27" s="15"/>
      <c r="E27" s="15"/>
      <c r="F27" s="15"/>
      <c r="G27" s="22"/>
      <c r="I27" s="13"/>
      <c r="J27" s="13"/>
      <c r="K27" s="13"/>
      <c r="L27" s="13"/>
    </row>
    <row r="28" spans="1:12" x14ac:dyDescent="0.25">
      <c r="A28" s="6">
        <v>1440</v>
      </c>
      <c r="B28" s="31">
        <f>B22+1.5*(B24)</f>
        <v>5423.375</v>
      </c>
      <c r="C28" s="27"/>
      <c r="D28" s="28"/>
      <c r="E28" s="28"/>
      <c r="F28" s="28"/>
      <c r="G28" s="29"/>
      <c r="I28" s="13"/>
      <c r="J28" s="13"/>
      <c r="K28" s="13"/>
      <c r="L28" s="13"/>
    </row>
    <row r="29" spans="1:12" ht="21" x14ac:dyDescent="0.35">
      <c r="A29" s="5">
        <v>1540</v>
      </c>
      <c r="B29" s="30" t="s">
        <v>169</v>
      </c>
      <c r="I29" s="13"/>
      <c r="J29" s="13"/>
      <c r="K29" s="13"/>
      <c r="L29" s="13"/>
    </row>
    <row r="30" spans="1:12" x14ac:dyDescent="0.25">
      <c r="A30" s="4">
        <v>2610</v>
      </c>
      <c r="B30" s="13" t="s">
        <v>170</v>
      </c>
      <c r="C30" s="13"/>
      <c r="D30" s="13"/>
      <c r="E30" s="13"/>
      <c r="H30" s="13"/>
      <c r="I30" s="13"/>
      <c r="J30" s="13"/>
      <c r="K30" s="13"/>
      <c r="L30" s="13"/>
    </row>
    <row r="31" spans="1:12" x14ac:dyDescent="0.25">
      <c r="A31" s="5">
        <v>4340</v>
      </c>
      <c r="B31" s="14" t="s">
        <v>171</v>
      </c>
      <c r="C31" s="13"/>
      <c r="D31" s="13"/>
      <c r="E31" s="13"/>
      <c r="H31" s="13"/>
      <c r="I31" s="13"/>
      <c r="J31" s="13"/>
      <c r="K31" s="13"/>
      <c r="L31" s="13"/>
    </row>
    <row r="32" spans="1:12" x14ac:dyDescent="0.25">
      <c r="A32" s="4">
        <v>3120</v>
      </c>
      <c r="B32" s="14" t="s">
        <v>172</v>
      </c>
      <c r="C32" s="13"/>
      <c r="D32" s="13"/>
      <c r="E32" s="13"/>
      <c r="H32" s="13"/>
      <c r="I32" s="13"/>
      <c r="J32" s="13"/>
      <c r="K32" s="13"/>
      <c r="L32" s="13"/>
    </row>
    <row r="33" spans="1:12" x14ac:dyDescent="0.25">
      <c r="A33" s="5">
        <v>1870</v>
      </c>
      <c r="B33" s="14" t="s">
        <v>173</v>
      </c>
      <c r="C33" s="13"/>
      <c r="D33" s="13"/>
      <c r="E33" s="13"/>
      <c r="H33" s="13"/>
      <c r="I33" s="13"/>
      <c r="J33" s="13"/>
      <c r="K33" s="13"/>
      <c r="L33" s="13"/>
    </row>
    <row r="34" spans="1:12" x14ac:dyDescent="0.25">
      <c r="A34" s="4">
        <v>2340</v>
      </c>
      <c r="B34" s="14" t="s">
        <v>174</v>
      </c>
      <c r="C34" s="13"/>
      <c r="D34" s="13"/>
      <c r="E34" s="13"/>
      <c r="I34" s="13"/>
      <c r="J34" s="13"/>
      <c r="K34" s="13"/>
      <c r="L34" s="13"/>
    </row>
    <row r="35" spans="1:12" x14ac:dyDescent="0.25">
      <c r="A35" s="5">
        <v>1925</v>
      </c>
      <c r="B35" s="14" t="s">
        <v>175</v>
      </c>
      <c r="C35" s="13"/>
      <c r="D35" s="13"/>
      <c r="E35" s="13"/>
    </row>
    <row r="36" spans="1:12" x14ac:dyDescent="0.25">
      <c r="A36" s="5"/>
      <c r="B36" s="14" t="s">
        <v>177</v>
      </c>
      <c r="C36" s="13"/>
      <c r="D36" s="13"/>
      <c r="E36" s="13"/>
    </row>
    <row r="37" spans="1:12" x14ac:dyDescent="0.25">
      <c r="A37" s="4">
        <v>1440</v>
      </c>
      <c r="B37" s="13" t="s">
        <v>176</v>
      </c>
      <c r="C37" s="13"/>
      <c r="D37" s="13"/>
    </row>
    <row r="38" spans="1:12" x14ac:dyDescent="0.25">
      <c r="A38" s="5">
        <v>1260</v>
      </c>
      <c r="B38" s="33" t="s">
        <v>178</v>
      </c>
      <c r="C38" s="13"/>
      <c r="D38" s="13"/>
    </row>
    <row r="39" spans="1:12" ht="18" x14ac:dyDescent="0.25">
      <c r="A39" s="4">
        <v>1300</v>
      </c>
      <c r="B39" s="32"/>
    </row>
    <row r="40" spans="1:12" ht="18" x14ac:dyDescent="0.25">
      <c r="A40" s="5">
        <v>1680</v>
      </c>
      <c r="B40" s="32"/>
    </row>
    <row r="41" spans="1:12" x14ac:dyDescent="0.25">
      <c r="A41" s="4">
        <v>4500</v>
      </c>
    </row>
    <row r="42" spans="1:12" x14ac:dyDescent="0.25">
      <c r="A42" s="5">
        <v>5220</v>
      </c>
    </row>
    <row r="43" spans="1:12" x14ac:dyDescent="0.25">
      <c r="A43" s="4">
        <v>2870</v>
      </c>
    </row>
    <row r="44" spans="1:12" x14ac:dyDescent="0.25">
      <c r="A44" s="5">
        <v>2100</v>
      </c>
    </row>
    <row r="45" spans="1:12" x14ac:dyDescent="0.25">
      <c r="A45" s="4">
        <v>2805</v>
      </c>
    </row>
    <row r="46" spans="1:12" x14ac:dyDescent="0.25">
      <c r="A46" s="5">
        <v>1850</v>
      </c>
    </row>
    <row r="47" spans="1:12" x14ac:dyDescent="0.25">
      <c r="A47" s="4">
        <v>1600</v>
      </c>
    </row>
    <row r="48" spans="1:12" x14ac:dyDescent="0.25">
      <c r="A48" s="5">
        <v>1260</v>
      </c>
    </row>
    <row r="49" spans="1:1" x14ac:dyDescent="0.25">
      <c r="A49" s="4">
        <v>1375</v>
      </c>
    </row>
    <row r="50" spans="1:1" x14ac:dyDescent="0.25">
      <c r="A50" s="5">
        <v>1380</v>
      </c>
    </row>
    <row r="51" spans="1:1" x14ac:dyDescent="0.25">
      <c r="A51" s="4">
        <v>3520</v>
      </c>
    </row>
    <row r="52" spans="1:1" x14ac:dyDescent="0.25">
      <c r="A52" s="5">
        <v>4880</v>
      </c>
    </row>
    <row r="53" spans="1:1" x14ac:dyDescent="0.25">
      <c r="A53" s="4">
        <v>3555</v>
      </c>
    </row>
    <row r="54" spans="1:1" x14ac:dyDescent="0.25">
      <c r="A54" s="5">
        <v>1968</v>
      </c>
    </row>
    <row r="55" spans="1:1" x14ac:dyDescent="0.25">
      <c r="A55" s="4">
        <v>2160</v>
      </c>
    </row>
    <row r="56" spans="1:1" x14ac:dyDescent="0.25">
      <c r="A56" s="5">
        <v>1710</v>
      </c>
    </row>
    <row r="57" spans="1:1" x14ac:dyDescent="0.25">
      <c r="A57" s="4">
        <v>1551</v>
      </c>
    </row>
    <row r="58" spans="1:1" x14ac:dyDescent="0.25">
      <c r="A58" s="5">
        <v>1276</v>
      </c>
    </row>
    <row r="59" spans="1:1" x14ac:dyDescent="0.25">
      <c r="A59" s="4">
        <v>1536</v>
      </c>
    </row>
    <row r="60" spans="1:1" x14ac:dyDescent="0.25">
      <c r="A60" s="5">
        <v>1575</v>
      </c>
    </row>
    <row r="61" spans="1:1" x14ac:dyDescent="0.25">
      <c r="A61" s="4">
        <v>3680</v>
      </c>
    </row>
    <row r="62" spans="1:1" x14ac:dyDescent="0.25">
      <c r="A62" s="5">
        <v>4480</v>
      </c>
    </row>
    <row r="63" spans="1:1" x14ac:dyDescent="0.25">
      <c r="A63" s="4">
        <v>2520</v>
      </c>
    </row>
    <row r="64" spans="1:1" x14ac:dyDescent="0.25">
      <c r="A64" s="5">
        <v>2024</v>
      </c>
    </row>
    <row r="65" spans="1:1" x14ac:dyDescent="0.25">
      <c r="A65" s="4">
        <v>2650</v>
      </c>
    </row>
    <row r="66" spans="1:1" x14ac:dyDescent="0.25">
      <c r="A66" s="5">
        <v>1560</v>
      </c>
    </row>
    <row r="67" spans="1:1" x14ac:dyDescent="0.25">
      <c r="A67" s="4">
        <v>1612</v>
      </c>
    </row>
    <row r="68" spans="1:1" x14ac:dyDescent="0.25">
      <c r="A68" s="5">
        <v>1240</v>
      </c>
    </row>
    <row r="69" spans="1:1" x14ac:dyDescent="0.25">
      <c r="A69" s="4">
        <v>1215</v>
      </c>
    </row>
    <row r="70" spans="1:1" x14ac:dyDescent="0.25">
      <c r="A70" s="5">
        <v>1680</v>
      </c>
    </row>
    <row r="71" spans="1:1" x14ac:dyDescent="0.25">
      <c r="A71" s="4">
        <v>4450</v>
      </c>
    </row>
    <row r="72" spans="1:1" x14ac:dyDescent="0.25">
      <c r="A72" s="5">
        <v>5040</v>
      </c>
    </row>
    <row r="73" spans="1:1" x14ac:dyDescent="0.25">
      <c r="A73" s="4">
        <v>2835</v>
      </c>
    </row>
    <row r="74" spans="1:1" x14ac:dyDescent="0.25">
      <c r="A74" s="5">
        <v>1800</v>
      </c>
    </row>
    <row r="75" spans="1:1" x14ac:dyDescent="0.25">
      <c r="A75" s="4">
        <v>2475</v>
      </c>
    </row>
    <row r="76" spans="1:1" x14ac:dyDescent="0.25">
      <c r="A76" s="5">
        <v>1800</v>
      </c>
    </row>
    <row r="77" spans="1:1" x14ac:dyDescent="0.25">
      <c r="A77" s="4">
        <v>1566</v>
      </c>
    </row>
    <row r="78" spans="1:1" x14ac:dyDescent="0.25">
      <c r="A78" s="5">
        <v>1312</v>
      </c>
    </row>
    <row r="79" spans="1:1" x14ac:dyDescent="0.25">
      <c r="A79" s="4">
        <v>1400</v>
      </c>
    </row>
    <row r="80" spans="1:1" x14ac:dyDescent="0.25">
      <c r="A80" s="5">
        <v>1880</v>
      </c>
    </row>
    <row r="81" spans="1:1" x14ac:dyDescent="0.25">
      <c r="A81" s="4">
        <v>3760</v>
      </c>
    </row>
    <row r="82" spans="1:1" x14ac:dyDescent="0.25">
      <c r="A82" s="5">
        <v>5200</v>
      </c>
    </row>
    <row r="83" spans="1:1" x14ac:dyDescent="0.25">
      <c r="A83" s="4">
        <v>3010</v>
      </c>
    </row>
    <row r="84" spans="1:1" x14ac:dyDescent="0.25">
      <c r="A84" s="5">
        <v>1932</v>
      </c>
    </row>
    <row r="85" spans="1:1" x14ac:dyDescent="0.25">
      <c r="A85" s="4">
        <v>2800</v>
      </c>
    </row>
    <row r="86" spans="1:1" x14ac:dyDescent="0.25">
      <c r="A86" s="5">
        <v>1845</v>
      </c>
    </row>
    <row r="87" spans="1:1" x14ac:dyDescent="0.25">
      <c r="A87" s="4">
        <v>1650</v>
      </c>
    </row>
    <row r="88" spans="1:1" x14ac:dyDescent="0.25">
      <c r="A88" s="5">
        <v>1326</v>
      </c>
    </row>
    <row r="89" spans="1:1" x14ac:dyDescent="0.25">
      <c r="A89" s="4">
        <v>1562</v>
      </c>
    </row>
    <row r="90" spans="1:1" x14ac:dyDescent="0.25">
      <c r="A90" s="5">
        <v>1715</v>
      </c>
    </row>
    <row r="91" spans="1:1" x14ac:dyDescent="0.25">
      <c r="A91" s="4">
        <v>4750</v>
      </c>
    </row>
    <row r="92" spans="1:1" x14ac:dyDescent="0.25">
      <c r="A92" s="5">
        <v>4690</v>
      </c>
    </row>
    <row r="93" spans="1:1" x14ac:dyDescent="0.25">
      <c r="A93" s="4">
        <v>3520</v>
      </c>
    </row>
    <row r="94" spans="1:1" x14ac:dyDescent="0.25">
      <c r="A94" s="5">
        <v>2090</v>
      </c>
    </row>
    <row r="95" spans="1:1" x14ac:dyDescent="0.25">
      <c r="A95" s="4">
        <v>2565</v>
      </c>
    </row>
    <row r="96" spans="1:1" x14ac:dyDescent="0.25">
      <c r="A96" s="5">
        <v>1680</v>
      </c>
    </row>
    <row r="97" spans="1:1" x14ac:dyDescent="0.25">
      <c r="A97" s="4">
        <v>1624</v>
      </c>
    </row>
    <row r="98" spans="1:1" x14ac:dyDescent="0.25">
      <c r="A98" s="5">
        <v>1470</v>
      </c>
    </row>
    <row r="99" spans="1:1" x14ac:dyDescent="0.25">
      <c r="A99" s="4">
        <v>1450</v>
      </c>
    </row>
    <row r="100" spans="1:1" x14ac:dyDescent="0.25">
      <c r="A100" s="5">
        <v>2000</v>
      </c>
    </row>
    <row r="101" spans="1:1" x14ac:dyDescent="0.25">
      <c r="A101" s="4">
        <v>3920</v>
      </c>
    </row>
    <row r="102" spans="1:1" x14ac:dyDescent="0.25">
      <c r="A102" s="5">
        <v>5520</v>
      </c>
    </row>
    <row r="103" spans="1:1" x14ac:dyDescent="0.25">
      <c r="A103" s="4">
        <v>3150</v>
      </c>
    </row>
    <row r="104" spans="1:1" x14ac:dyDescent="0.25">
      <c r="A104" s="5">
        <v>1960</v>
      </c>
    </row>
    <row r="105" spans="1:1" x14ac:dyDescent="0.25">
      <c r="A105" s="4">
        <v>2900</v>
      </c>
    </row>
    <row r="106" spans="1:1" x14ac:dyDescent="0.25">
      <c r="A106" s="5">
        <v>1935</v>
      </c>
    </row>
    <row r="107" spans="1:1" x14ac:dyDescent="0.25">
      <c r="A107" s="4">
        <v>1740</v>
      </c>
    </row>
    <row r="108" spans="1:1" x14ac:dyDescent="0.25">
      <c r="A108" s="5">
        <v>1476</v>
      </c>
    </row>
    <row r="109" spans="1:1" x14ac:dyDescent="0.25">
      <c r="A109" s="4">
        <v>1650</v>
      </c>
    </row>
    <row r="110" spans="1:1" x14ac:dyDescent="0.25">
      <c r="A110" s="5">
        <v>2040</v>
      </c>
    </row>
    <row r="111" spans="1:1" x14ac:dyDescent="0.25">
      <c r="A111" s="4">
        <v>25000</v>
      </c>
    </row>
    <row r="112" spans="1:1" x14ac:dyDescent="0.25">
      <c r="A112" s="5">
        <v>14000</v>
      </c>
    </row>
    <row r="113" spans="1:1" x14ac:dyDescent="0.25">
      <c r="A113" s="4">
        <v>6900</v>
      </c>
    </row>
    <row r="114" spans="1:1" x14ac:dyDescent="0.25">
      <c r="A114" s="5">
        <v>6000</v>
      </c>
    </row>
    <row r="115" spans="1:1" x14ac:dyDescent="0.25">
      <c r="A115" s="4">
        <v>3540</v>
      </c>
    </row>
    <row r="116" spans="1:1" x14ac:dyDescent="0.25">
      <c r="A116" s="5">
        <v>3080</v>
      </c>
    </row>
    <row r="117" spans="1:1" x14ac:dyDescent="0.25">
      <c r="A117" s="4">
        <v>3100</v>
      </c>
    </row>
    <row r="118" spans="1:1" x14ac:dyDescent="0.25">
      <c r="A118" s="5">
        <v>2660</v>
      </c>
    </row>
    <row r="119" spans="1:1" x14ac:dyDescent="0.25">
      <c r="A119" s="4">
        <v>2325</v>
      </c>
    </row>
    <row r="120" spans="1:1" x14ac:dyDescent="0.25">
      <c r="A120" s="5">
        <v>3120</v>
      </c>
    </row>
    <row r="121" spans="1:1" x14ac:dyDescent="0.25">
      <c r="A121" s="4">
        <v>850</v>
      </c>
    </row>
    <row r="122" spans="1:1" x14ac:dyDescent="0.25">
      <c r="A122" s="5">
        <v>1200</v>
      </c>
    </row>
    <row r="123" spans="1:1" x14ac:dyDescent="0.25">
      <c r="A123" s="4">
        <v>800</v>
      </c>
    </row>
    <row r="124" spans="1:1" x14ac:dyDescent="0.25">
      <c r="A124" s="5">
        <v>400</v>
      </c>
    </row>
    <row r="125" spans="1:1" x14ac:dyDescent="0.25">
      <c r="A125" s="4">
        <v>500</v>
      </c>
    </row>
    <row r="126" spans="1:1" x14ac:dyDescent="0.25">
      <c r="A126" s="5">
        <v>540</v>
      </c>
    </row>
    <row r="127" spans="1:1" x14ac:dyDescent="0.25">
      <c r="A127" s="4">
        <v>450</v>
      </c>
    </row>
    <row r="128" spans="1:1" x14ac:dyDescent="0.25">
      <c r="A128" s="5">
        <v>300</v>
      </c>
    </row>
    <row r="129" spans="1:1" x14ac:dyDescent="0.25">
      <c r="A129" s="4">
        <v>360</v>
      </c>
    </row>
    <row r="130" spans="1:1" x14ac:dyDescent="0.25">
      <c r="A130" s="5">
        <v>440</v>
      </c>
    </row>
    <row r="131" spans="1:1" x14ac:dyDescent="0.25">
      <c r="A131" s="4">
        <v>3480</v>
      </c>
    </row>
    <row r="132" spans="1:1" x14ac:dyDescent="0.25">
      <c r="A132" s="5">
        <v>4960</v>
      </c>
    </row>
    <row r="133" spans="1:1" x14ac:dyDescent="0.25">
      <c r="A133" s="4">
        <v>2460</v>
      </c>
    </row>
    <row r="134" spans="1:1" x14ac:dyDescent="0.25">
      <c r="A134" s="5">
        <v>2125</v>
      </c>
    </row>
    <row r="135" spans="1:1" x14ac:dyDescent="0.25">
      <c r="A135" s="4">
        <v>2600</v>
      </c>
    </row>
    <row r="136" spans="1:1" x14ac:dyDescent="0.25">
      <c r="A136" s="5">
        <v>1850</v>
      </c>
    </row>
    <row r="137" spans="1:1" x14ac:dyDescent="0.25">
      <c r="A137" s="4">
        <v>1650</v>
      </c>
    </row>
    <row r="138" spans="1:1" x14ac:dyDescent="0.25">
      <c r="A138" s="8">
        <v>1350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4326-653B-42B2-AD01-964D580FCE1A}">
  <sheetPr>
    <tabColor rgb="FF00B0F0"/>
  </sheetPr>
  <dimension ref="A1:G119"/>
  <sheetViews>
    <sheetView topLeftCell="A15" zoomScale="90" zoomScaleNormal="90" workbookViewId="0">
      <selection activeCell="E11" sqref="E11"/>
    </sheetView>
  </sheetViews>
  <sheetFormatPr defaultRowHeight="15" x14ac:dyDescent="0.25"/>
  <sheetData>
    <row r="1" spans="1:3" ht="15.75" thickBot="1" x14ac:dyDescent="0.3">
      <c r="A1" s="2" t="s">
        <v>121</v>
      </c>
      <c r="B1" s="2" t="s">
        <v>122</v>
      </c>
      <c r="C1" s="2" t="s">
        <v>123</v>
      </c>
    </row>
    <row r="2" spans="1:3" ht="15.75" thickTop="1" x14ac:dyDescent="0.25">
      <c r="A2" s="4">
        <v>850</v>
      </c>
      <c r="B2" s="4">
        <v>4</v>
      </c>
      <c r="C2" s="4">
        <v>3400</v>
      </c>
    </row>
    <row r="3" spans="1:3" x14ac:dyDescent="0.25">
      <c r="A3" s="5">
        <v>600</v>
      </c>
      <c r="B3" s="5">
        <v>8</v>
      </c>
      <c r="C3" s="5">
        <v>4800</v>
      </c>
    </row>
    <row r="4" spans="1:3" x14ac:dyDescent="0.25">
      <c r="A4" s="4">
        <v>400</v>
      </c>
      <c r="B4" s="4">
        <v>6</v>
      </c>
      <c r="C4" s="4">
        <v>2400</v>
      </c>
    </row>
    <row r="5" spans="1:3" x14ac:dyDescent="0.25">
      <c r="A5" s="5">
        <v>80</v>
      </c>
      <c r="B5" s="5">
        <v>25</v>
      </c>
      <c r="C5" s="5">
        <v>2000</v>
      </c>
    </row>
    <row r="6" spans="1:3" x14ac:dyDescent="0.25">
      <c r="A6" s="4">
        <v>250</v>
      </c>
      <c r="B6" s="4">
        <v>10</v>
      </c>
      <c r="C6" s="4">
        <v>2500</v>
      </c>
    </row>
    <row r="7" spans="1:3" x14ac:dyDescent="0.25">
      <c r="A7" s="5">
        <v>180</v>
      </c>
      <c r="B7" s="5">
        <v>9</v>
      </c>
      <c r="C7" s="5">
        <v>1620</v>
      </c>
    </row>
    <row r="8" spans="1:3" x14ac:dyDescent="0.25">
      <c r="A8" s="4">
        <v>45</v>
      </c>
      <c r="B8" s="4">
        <v>35</v>
      </c>
      <c r="C8" s="4">
        <v>1575</v>
      </c>
    </row>
    <row r="9" spans="1:3" x14ac:dyDescent="0.25">
      <c r="A9" s="5">
        <v>25</v>
      </c>
      <c r="B9" s="5">
        <v>50</v>
      </c>
      <c r="C9" s="5">
        <v>1250</v>
      </c>
    </row>
    <row r="10" spans="1:3" x14ac:dyDescent="0.25">
      <c r="A10" s="4">
        <v>120</v>
      </c>
      <c r="B10" s="4">
        <v>12</v>
      </c>
      <c r="C10" s="4">
        <v>1440</v>
      </c>
    </row>
    <row r="11" spans="1:3" x14ac:dyDescent="0.25">
      <c r="A11" s="5">
        <v>220</v>
      </c>
      <c r="B11" s="5">
        <v>7</v>
      </c>
      <c r="C11" s="5">
        <v>1540</v>
      </c>
    </row>
    <row r="12" spans="1:3" x14ac:dyDescent="0.25">
      <c r="A12" s="4">
        <v>870</v>
      </c>
      <c r="B12" s="4">
        <v>3</v>
      </c>
      <c r="C12" s="4">
        <v>2610</v>
      </c>
    </row>
    <row r="13" spans="1:3" x14ac:dyDescent="0.25">
      <c r="A13" s="5">
        <v>620</v>
      </c>
      <c r="B13" s="5">
        <v>7</v>
      </c>
      <c r="C13" s="5">
        <v>4340</v>
      </c>
    </row>
    <row r="14" spans="1:3" x14ac:dyDescent="0.25">
      <c r="A14" s="4">
        <v>390</v>
      </c>
      <c r="B14" s="4">
        <v>8</v>
      </c>
      <c r="C14" s="4">
        <v>3120</v>
      </c>
    </row>
    <row r="15" spans="1:3" x14ac:dyDescent="0.25">
      <c r="A15" s="5">
        <v>85</v>
      </c>
      <c r="B15" s="5">
        <v>22</v>
      </c>
      <c r="C15" s="5">
        <v>1870</v>
      </c>
    </row>
    <row r="16" spans="1:3" x14ac:dyDescent="0.25">
      <c r="A16" s="4">
        <v>260</v>
      </c>
      <c r="B16" s="4">
        <v>9</v>
      </c>
      <c r="C16" s="4">
        <v>2340</v>
      </c>
    </row>
    <row r="17" spans="1:3" x14ac:dyDescent="0.25">
      <c r="A17" s="5">
        <v>175</v>
      </c>
      <c r="B17" s="5">
        <v>11</v>
      </c>
      <c r="C17" s="5">
        <v>1925</v>
      </c>
    </row>
    <row r="18" spans="1:3" x14ac:dyDescent="0.25">
      <c r="A18" s="4">
        <v>48</v>
      </c>
      <c r="B18" s="4">
        <v>30</v>
      </c>
      <c r="C18" s="4">
        <v>1440</v>
      </c>
    </row>
    <row r="19" spans="1:3" x14ac:dyDescent="0.25">
      <c r="A19" s="5">
        <v>28</v>
      </c>
      <c r="B19" s="5">
        <v>45</v>
      </c>
      <c r="C19" s="5">
        <v>1260</v>
      </c>
    </row>
    <row r="20" spans="1:3" x14ac:dyDescent="0.25">
      <c r="A20" s="4">
        <v>130</v>
      </c>
      <c r="B20" s="4">
        <v>10</v>
      </c>
      <c r="C20" s="4">
        <v>1300</v>
      </c>
    </row>
    <row r="21" spans="1:3" x14ac:dyDescent="0.25">
      <c r="A21" s="5">
        <v>210</v>
      </c>
      <c r="B21" s="5">
        <v>8</v>
      </c>
      <c r="C21" s="5">
        <v>1680</v>
      </c>
    </row>
    <row r="22" spans="1:3" x14ac:dyDescent="0.25">
      <c r="A22" s="4">
        <v>900</v>
      </c>
      <c r="B22" s="4">
        <v>5</v>
      </c>
      <c r="C22" s="4">
        <v>4500</v>
      </c>
    </row>
    <row r="23" spans="1:3" x14ac:dyDescent="0.25">
      <c r="A23" s="5">
        <v>580</v>
      </c>
      <c r="B23" s="5">
        <v>9</v>
      </c>
      <c r="C23" s="5">
        <v>5220</v>
      </c>
    </row>
    <row r="24" spans="1:3" x14ac:dyDescent="0.25">
      <c r="A24" s="4">
        <v>410</v>
      </c>
      <c r="B24" s="4">
        <v>7</v>
      </c>
      <c r="C24" s="4">
        <v>2870</v>
      </c>
    </row>
    <row r="25" spans="1:3" x14ac:dyDescent="0.25">
      <c r="A25" s="5">
        <v>75</v>
      </c>
      <c r="B25" s="5">
        <v>28</v>
      </c>
      <c r="C25" s="5">
        <v>2100</v>
      </c>
    </row>
    <row r="26" spans="1:3" x14ac:dyDescent="0.25">
      <c r="A26" s="4">
        <v>255</v>
      </c>
      <c r="B26" s="4">
        <v>11</v>
      </c>
      <c r="C26" s="4">
        <v>2805</v>
      </c>
    </row>
    <row r="27" spans="1:3" x14ac:dyDescent="0.25">
      <c r="A27" s="5">
        <v>185</v>
      </c>
      <c r="B27" s="5">
        <v>10</v>
      </c>
      <c r="C27" s="5">
        <v>1850</v>
      </c>
    </row>
    <row r="28" spans="1:3" x14ac:dyDescent="0.25">
      <c r="A28" s="4">
        <v>50</v>
      </c>
      <c r="B28" s="4">
        <v>32</v>
      </c>
      <c r="C28" s="4">
        <v>1600</v>
      </c>
    </row>
    <row r="29" spans="1:3" x14ac:dyDescent="0.25">
      <c r="A29" s="5">
        <v>30</v>
      </c>
      <c r="B29" s="5">
        <v>42</v>
      </c>
      <c r="C29" s="5">
        <v>1260</v>
      </c>
    </row>
    <row r="30" spans="1:3" x14ac:dyDescent="0.25">
      <c r="A30" s="4">
        <v>125</v>
      </c>
      <c r="B30" s="4">
        <v>11</v>
      </c>
      <c r="C30" s="4">
        <v>1375</v>
      </c>
    </row>
    <row r="31" spans="1:3" x14ac:dyDescent="0.25">
      <c r="A31" s="5">
        <v>230</v>
      </c>
      <c r="B31" s="5">
        <v>6</v>
      </c>
      <c r="C31" s="5">
        <v>1380</v>
      </c>
    </row>
    <row r="32" spans="1:3" x14ac:dyDescent="0.25">
      <c r="A32" s="4">
        <v>880</v>
      </c>
      <c r="B32" s="4">
        <v>4</v>
      </c>
      <c r="C32" s="4">
        <v>3520</v>
      </c>
    </row>
    <row r="33" spans="1:3" x14ac:dyDescent="0.25">
      <c r="A33" s="5">
        <v>610</v>
      </c>
      <c r="B33" s="5">
        <v>8</v>
      </c>
      <c r="C33" s="5">
        <v>4880</v>
      </c>
    </row>
    <row r="34" spans="1:3" x14ac:dyDescent="0.25">
      <c r="A34" s="4">
        <v>395</v>
      </c>
      <c r="B34" s="4">
        <v>9</v>
      </c>
      <c r="C34" s="4">
        <v>3555</v>
      </c>
    </row>
    <row r="35" spans="1:3" x14ac:dyDescent="0.25">
      <c r="A35" s="5">
        <v>82</v>
      </c>
      <c r="B35" s="5">
        <v>24</v>
      </c>
      <c r="C35" s="5">
        <v>1968</v>
      </c>
    </row>
    <row r="36" spans="1:3" x14ac:dyDescent="0.25">
      <c r="A36" s="4">
        <v>270</v>
      </c>
      <c r="B36" s="4">
        <v>8</v>
      </c>
      <c r="C36" s="4">
        <v>2160</v>
      </c>
    </row>
    <row r="37" spans="1:3" x14ac:dyDescent="0.25">
      <c r="A37" s="5">
        <v>190</v>
      </c>
      <c r="B37" s="5">
        <v>9</v>
      </c>
      <c r="C37" s="5">
        <v>1710</v>
      </c>
    </row>
    <row r="38" spans="1:3" x14ac:dyDescent="0.25">
      <c r="A38" s="4">
        <v>47</v>
      </c>
      <c r="B38" s="4">
        <v>33</v>
      </c>
      <c r="C38" s="4">
        <v>1551</v>
      </c>
    </row>
    <row r="39" spans="1:3" x14ac:dyDescent="0.25">
      <c r="A39" s="5">
        <v>29</v>
      </c>
      <c r="B39" s="5">
        <v>44</v>
      </c>
      <c r="C39" s="5">
        <v>1276</v>
      </c>
    </row>
    <row r="40" spans="1:3" x14ac:dyDescent="0.25">
      <c r="A40" s="4">
        <v>128</v>
      </c>
      <c r="B40" s="4">
        <v>12</v>
      </c>
      <c r="C40" s="4">
        <v>1536</v>
      </c>
    </row>
    <row r="41" spans="1:3" x14ac:dyDescent="0.25">
      <c r="A41" s="5">
        <v>225</v>
      </c>
      <c r="B41" s="5">
        <v>7</v>
      </c>
      <c r="C41" s="5">
        <v>1575</v>
      </c>
    </row>
    <row r="42" spans="1:3" x14ac:dyDescent="0.25">
      <c r="A42" s="4">
        <v>920</v>
      </c>
      <c r="B42" s="4">
        <v>4</v>
      </c>
      <c r="C42" s="4">
        <v>3680</v>
      </c>
    </row>
    <row r="43" spans="1:3" x14ac:dyDescent="0.25">
      <c r="A43" s="5">
        <v>640</v>
      </c>
      <c r="B43" s="5">
        <v>7</v>
      </c>
      <c r="C43" s="5">
        <v>4480</v>
      </c>
    </row>
    <row r="44" spans="1:3" x14ac:dyDescent="0.25">
      <c r="A44" s="4">
        <v>420</v>
      </c>
      <c r="B44" s="4">
        <v>6</v>
      </c>
      <c r="C44" s="4">
        <v>2520</v>
      </c>
    </row>
    <row r="45" spans="1:3" x14ac:dyDescent="0.25">
      <c r="A45" s="5">
        <v>88</v>
      </c>
      <c r="B45" s="5">
        <v>23</v>
      </c>
      <c r="C45" s="5">
        <v>2024</v>
      </c>
    </row>
    <row r="46" spans="1:3" x14ac:dyDescent="0.25">
      <c r="A46" s="4">
        <v>265</v>
      </c>
      <c r="B46" s="4">
        <v>10</v>
      </c>
      <c r="C46" s="4">
        <v>2650</v>
      </c>
    </row>
    <row r="47" spans="1:3" x14ac:dyDescent="0.25">
      <c r="A47" s="5">
        <v>195</v>
      </c>
      <c r="B47" s="5">
        <v>8</v>
      </c>
      <c r="C47" s="5">
        <v>1560</v>
      </c>
    </row>
    <row r="48" spans="1:3" x14ac:dyDescent="0.25">
      <c r="A48" s="4">
        <v>52</v>
      </c>
      <c r="B48" s="4">
        <v>31</v>
      </c>
      <c r="C48" s="4">
        <v>1612</v>
      </c>
    </row>
    <row r="49" spans="1:7" x14ac:dyDescent="0.25">
      <c r="A49" s="5">
        <v>31</v>
      </c>
      <c r="B49" s="5">
        <v>40</v>
      </c>
      <c r="C49" s="5">
        <v>1240</v>
      </c>
    </row>
    <row r="50" spans="1:7" x14ac:dyDescent="0.25">
      <c r="A50" s="4">
        <v>135</v>
      </c>
      <c r="B50" s="4">
        <v>9</v>
      </c>
      <c r="C50" s="4">
        <v>1215</v>
      </c>
    </row>
    <row r="51" spans="1:7" x14ac:dyDescent="0.25">
      <c r="A51" s="5">
        <v>240</v>
      </c>
      <c r="B51" s="5">
        <v>7</v>
      </c>
      <c r="C51" s="5">
        <v>1680</v>
      </c>
    </row>
    <row r="52" spans="1:7" x14ac:dyDescent="0.25">
      <c r="A52" s="4">
        <v>890</v>
      </c>
      <c r="B52" s="4">
        <v>5</v>
      </c>
      <c r="C52" s="4">
        <v>4450</v>
      </c>
    </row>
    <row r="53" spans="1:7" x14ac:dyDescent="0.25">
      <c r="A53" s="5">
        <v>630</v>
      </c>
      <c r="B53" s="5">
        <v>8</v>
      </c>
      <c r="C53" s="5">
        <v>5040</v>
      </c>
    </row>
    <row r="54" spans="1:7" x14ac:dyDescent="0.25">
      <c r="A54" s="4">
        <v>405</v>
      </c>
      <c r="B54" s="4">
        <v>7</v>
      </c>
      <c r="C54" s="4">
        <v>2835</v>
      </c>
    </row>
    <row r="55" spans="1:7" x14ac:dyDescent="0.25">
      <c r="A55" s="5">
        <v>90</v>
      </c>
      <c r="B55" s="5">
        <v>20</v>
      </c>
      <c r="C55" s="5">
        <v>1800</v>
      </c>
    </row>
    <row r="56" spans="1:7" x14ac:dyDescent="0.25">
      <c r="A56" s="4">
        <v>275</v>
      </c>
      <c r="B56" s="4">
        <v>9</v>
      </c>
      <c r="C56" s="4">
        <v>2475</v>
      </c>
      <c r="G56" s="14"/>
    </row>
    <row r="57" spans="1:7" x14ac:dyDescent="0.25">
      <c r="A57" s="5">
        <v>200</v>
      </c>
      <c r="B57" s="5">
        <v>9</v>
      </c>
      <c r="C57" s="5">
        <v>1800</v>
      </c>
      <c r="G57" s="14"/>
    </row>
    <row r="58" spans="1:7" x14ac:dyDescent="0.25">
      <c r="A58" s="4">
        <v>54</v>
      </c>
      <c r="B58" s="4">
        <v>29</v>
      </c>
      <c r="C58" s="4">
        <v>1566</v>
      </c>
      <c r="G58" s="14"/>
    </row>
    <row r="59" spans="1:7" x14ac:dyDescent="0.25">
      <c r="A59" s="5">
        <v>32</v>
      </c>
      <c r="B59" s="5">
        <v>41</v>
      </c>
      <c r="C59" s="5">
        <v>1312</v>
      </c>
      <c r="G59" s="14"/>
    </row>
    <row r="60" spans="1:7" x14ac:dyDescent="0.25">
      <c r="A60" s="4">
        <v>140</v>
      </c>
      <c r="B60" s="4">
        <v>10</v>
      </c>
      <c r="C60" s="4">
        <v>1400</v>
      </c>
    </row>
    <row r="61" spans="1:7" x14ac:dyDescent="0.25">
      <c r="A61" s="5">
        <v>235</v>
      </c>
      <c r="B61" s="5">
        <v>8</v>
      </c>
      <c r="C61" s="5">
        <v>1880</v>
      </c>
    </row>
    <row r="62" spans="1:7" x14ac:dyDescent="0.25">
      <c r="A62" s="4">
        <v>940</v>
      </c>
      <c r="B62" s="4">
        <v>4</v>
      </c>
      <c r="C62" s="4">
        <v>3760</v>
      </c>
    </row>
    <row r="63" spans="1:7" x14ac:dyDescent="0.25">
      <c r="A63" s="5">
        <v>650</v>
      </c>
      <c r="B63" s="5">
        <v>8</v>
      </c>
      <c r="C63" s="5">
        <v>5200</v>
      </c>
    </row>
    <row r="64" spans="1:7" x14ac:dyDescent="0.25">
      <c r="A64" s="4">
        <v>430</v>
      </c>
      <c r="B64" s="4">
        <v>7</v>
      </c>
      <c r="C64" s="4">
        <v>3010</v>
      </c>
    </row>
    <row r="65" spans="1:3" x14ac:dyDescent="0.25">
      <c r="A65" s="5">
        <v>92</v>
      </c>
      <c r="B65" s="5">
        <v>21</v>
      </c>
      <c r="C65" s="5">
        <v>1932</v>
      </c>
    </row>
    <row r="66" spans="1:3" x14ac:dyDescent="0.25">
      <c r="A66" s="4">
        <v>280</v>
      </c>
      <c r="B66" s="4">
        <v>10</v>
      </c>
      <c r="C66" s="4">
        <v>2800</v>
      </c>
    </row>
    <row r="67" spans="1:3" x14ac:dyDescent="0.25">
      <c r="A67" s="5">
        <v>205</v>
      </c>
      <c r="B67" s="5">
        <v>9</v>
      </c>
      <c r="C67" s="5">
        <v>1845</v>
      </c>
    </row>
    <row r="68" spans="1:3" x14ac:dyDescent="0.25">
      <c r="A68" s="4">
        <v>55</v>
      </c>
      <c r="B68" s="4">
        <v>30</v>
      </c>
      <c r="C68" s="4">
        <v>1650</v>
      </c>
    </row>
    <row r="69" spans="1:3" x14ac:dyDescent="0.25">
      <c r="A69" s="5">
        <v>34</v>
      </c>
      <c r="B69" s="5">
        <v>39</v>
      </c>
      <c r="C69" s="5">
        <v>1326</v>
      </c>
    </row>
    <row r="70" spans="1:3" x14ac:dyDescent="0.25">
      <c r="A70" s="4">
        <v>142</v>
      </c>
      <c r="B70" s="4">
        <v>11</v>
      </c>
      <c r="C70" s="4">
        <v>1562</v>
      </c>
    </row>
    <row r="71" spans="1:3" x14ac:dyDescent="0.25">
      <c r="A71" s="5">
        <v>245</v>
      </c>
      <c r="B71" s="5">
        <v>7</v>
      </c>
      <c r="C71" s="5">
        <v>1715</v>
      </c>
    </row>
    <row r="72" spans="1:3" x14ac:dyDescent="0.25">
      <c r="A72" s="4">
        <v>950</v>
      </c>
      <c r="B72" s="4">
        <v>5</v>
      </c>
      <c r="C72" s="4">
        <v>4750</v>
      </c>
    </row>
    <row r="73" spans="1:3" x14ac:dyDescent="0.25">
      <c r="A73" s="5">
        <v>670</v>
      </c>
      <c r="B73" s="5">
        <v>7</v>
      </c>
      <c r="C73" s="5">
        <v>4690</v>
      </c>
    </row>
    <row r="74" spans="1:3" x14ac:dyDescent="0.25">
      <c r="A74" s="4">
        <v>440</v>
      </c>
      <c r="B74" s="4">
        <v>8</v>
      </c>
      <c r="C74" s="4">
        <v>3520</v>
      </c>
    </row>
    <row r="75" spans="1:3" x14ac:dyDescent="0.25">
      <c r="A75" s="5">
        <v>95</v>
      </c>
      <c r="B75" s="5">
        <v>22</v>
      </c>
      <c r="C75" s="5">
        <v>2090</v>
      </c>
    </row>
    <row r="76" spans="1:3" x14ac:dyDescent="0.25">
      <c r="A76" s="4">
        <v>285</v>
      </c>
      <c r="B76" s="4">
        <v>9</v>
      </c>
      <c r="C76" s="4">
        <v>2565</v>
      </c>
    </row>
    <row r="77" spans="1:3" x14ac:dyDescent="0.25">
      <c r="A77" s="5">
        <v>210</v>
      </c>
      <c r="B77" s="5">
        <v>8</v>
      </c>
      <c r="C77" s="5">
        <v>1680</v>
      </c>
    </row>
    <row r="78" spans="1:3" x14ac:dyDescent="0.25">
      <c r="A78" s="4">
        <v>58</v>
      </c>
      <c r="B78" s="4">
        <v>28</v>
      </c>
      <c r="C78" s="4">
        <v>1624</v>
      </c>
    </row>
    <row r="79" spans="1:3" x14ac:dyDescent="0.25">
      <c r="A79" s="5">
        <v>35</v>
      </c>
      <c r="B79" s="5">
        <v>42</v>
      </c>
      <c r="C79" s="5">
        <v>1470</v>
      </c>
    </row>
    <row r="80" spans="1:3" x14ac:dyDescent="0.25">
      <c r="A80" s="4">
        <v>145</v>
      </c>
      <c r="B80" s="4">
        <v>10</v>
      </c>
      <c r="C80" s="4">
        <v>1450</v>
      </c>
    </row>
    <row r="81" spans="1:3" x14ac:dyDescent="0.25">
      <c r="A81" s="5">
        <v>250</v>
      </c>
      <c r="B81" s="5">
        <v>8</v>
      </c>
      <c r="C81" s="5">
        <v>2000</v>
      </c>
    </row>
    <row r="82" spans="1:3" x14ac:dyDescent="0.25">
      <c r="A82" s="4">
        <v>980</v>
      </c>
      <c r="B82" s="4">
        <v>4</v>
      </c>
      <c r="C82" s="4">
        <v>3920</v>
      </c>
    </row>
    <row r="83" spans="1:3" x14ac:dyDescent="0.25">
      <c r="A83" s="5">
        <v>690</v>
      </c>
      <c r="B83" s="5">
        <v>8</v>
      </c>
      <c r="C83" s="5">
        <v>5520</v>
      </c>
    </row>
    <row r="84" spans="1:3" x14ac:dyDescent="0.25">
      <c r="A84" s="4">
        <v>450</v>
      </c>
      <c r="B84" s="4">
        <v>7</v>
      </c>
      <c r="C84" s="4">
        <v>3150</v>
      </c>
    </row>
    <row r="85" spans="1:3" x14ac:dyDescent="0.25">
      <c r="A85" s="5">
        <v>98</v>
      </c>
      <c r="B85" s="5">
        <v>20</v>
      </c>
      <c r="C85" s="5">
        <v>1960</v>
      </c>
    </row>
    <row r="86" spans="1:3" x14ac:dyDescent="0.25">
      <c r="A86" s="4">
        <v>290</v>
      </c>
      <c r="B86" s="4">
        <v>10</v>
      </c>
      <c r="C86" s="4">
        <v>2900</v>
      </c>
    </row>
    <row r="87" spans="1:3" x14ac:dyDescent="0.25">
      <c r="A87" s="5">
        <v>215</v>
      </c>
      <c r="B87" s="5">
        <v>9</v>
      </c>
      <c r="C87" s="5">
        <v>1935</v>
      </c>
    </row>
    <row r="88" spans="1:3" x14ac:dyDescent="0.25">
      <c r="A88" s="4">
        <v>60</v>
      </c>
      <c r="B88" s="4">
        <v>29</v>
      </c>
      <c r="C88" s="4">
        <v>1740</v>
      </c>
    </row>
    <row r="89" spans="1:3" x14ac:dyDescent="0.25">
      <c r="A89" s="5">
        <v>36</v>
      </c>
      <c r="B89" s="5">
        <v>41</v>
      </c>
      <c r="C89" s="5">
        <v>1476</v>
      </c>
    </row>
    <row r="90" spans="1:3" x14ac:dyDescent="0.25">
      <c r="A90" s="4">
        <v>150</v>
      </c>
      <c r="B90" s="4">
        <v>11</v>
      </c>
      <c r="C90" s="4">
        <v>1650</v>
      </c>
    </row>
    <row r="91" spans="1:3" x14ac:dyDescent="0.25">
      <c r="A91" s="5">
        <v>255</v>
      </c>
      <c r="B91" s="5">
        <v>8</v>
      </c>
      <c r="C91" s="5">
        <v>2040</v>
      </c>
    </row>
    <row r="92" spans="1:3" x14ac:dyDescent="0.25">
      <c r="A92" s="4">
        <v>1000</v>
      </c>
      <c r="B92" s="4">
        <v>25</v>
      </c>
      <c r="C92" s="4">
        <v>25000</v>
      </c>
    </row>
    <row r="93" spans="1:3" x14ac:dyDescent="0.25">
      <c r="A93" s="5">
        <v>700</v>
      </c>
      <c r="B93" s="5">
        <v>20</v>
      </c>
      <c r="C93" s="5">
        <v>14000</v>
      </c>
    </row>
    <row r="94" spans="1:3" x14ac:dyDescent="0.25">
      <c r="A94" s="4">
        <v>460</v>
      </c>
      <c r="B94" s="4">
        <v>15</v>
      </c>
      <c r="C94" s="4">
        <v>6900</v>
      </c>
    </row>
    <row r="95" spans="1:3" x14ac:dyDescent="0.25">
      <c r="A95" s="5">
        <v>100</v>
      </c>
      <c r="B95" s="5">
        <v>60</v>
      </c>
      <c r="C95" s="5">
        <v>6000</v>
      </c>
    </row>
    <row r="96" spans="1:3" x14ac:dyDescent="0.25">
      <c r="A96" s="4">
        <v>295</v>
      </c>
      <c r="B96" s="4">
        <v>12</v>
      </c>
      <c r="C96" s="4">
        <v>3540</v>
      </c>
    </row>
    <row r="97" spans="1:3" x14ac:dyDescent="0.25">
      <c r="A97" s="5">
        <v>220</v>
      </c>
      <c r="B97" s="5">
        <v>14</v>
      </c>
      <c r="C97" s="5">
        <v>3080</v>
      </c>
    </row>
    <row r="98" spans="1:3" x14ac:dyDescent="0.25">
      <c r="A98" s="4">
        <v>62</v>
      </c>
      <c r="B98" s="4">
        <v>50</v>
      </c>
      <c r="C98" s="4">
        <v>3100</v>
      </c>
    </row>
    <row r="99" spans="1:3" x14ac:dyDescent="0.25">
      <c r="A99" s="5">
        <v>38</v>
      </c>
      <c r="B99" s="5">
        <v>70</v>
      </c>
      <c r="C99" s="5">
        <v>2660</v>
      </c>
    </row>
    <row r="100" spans="1:3" x14ac:dyDescent="0.25">
      <c r="A100" s="4">
        <v>155</v>
      </c>
      <c r="B100" s="4">
        <v>15</v>
      </c>
      <c r="C100" s="4">
        <v>2325</v>
      </c>
    </row>
    <row r="101" spans="1:3" x14ac:dyDescent="0.25">
      <c r="A101" s="5">
        <v>260</v>
      </c>
      <c r="B101" s="5">
        <v>12</v>
      </c>
      <c r="C101" s="5">
        <v>3120</v>
      </c>
    </row>
    <row r="102" spans="1:3" x14ac:dyDescent="0.25">
      <c r="A102" s="4">
        <v>850</v>
      </c>
      <c r="B102" s="4">
        <v>1</v>
      </c>
      <c r="C102" s="4">
        <v>850</v>
      </c>
    </row>
    <row r="103" spans="1:3" x14ac:dyDescent="0.25">
      <c r="A103" s="5">
        <v>600</v>
      </c>
      <c r="B103" s="5">
        <v>2</v>
      </c>
      <c r="C103" s="5">
        <v>1200</v>
      </c>
    </row>
    <row r="104" spans="1:3" x14ac:dyDescent="0.25">
      <c r="A104" s="4">
        <v>400</v>
      </c>
      <c r="B104" s="4">
        <v>2</v>
      </c>
      <c r="C104" s="4">
        <v>800</v>
      </c>
    </row>
    <row r="105" spans="1:3" x14ac:dyDescent="0.25">
      <c r="A105" s="5">
        <v>80</v>
      </c>
      <c r="B105" s="5">
        <v>5</v>
      </c>
      <c r="C105" s="5">
        <v>400</v>
      </c>
    </row>
    <row r="106" spans="1:3" x14ac:dyDescent="0.25">
      <c r="A106" s="4">
        <v>250</v>
      </c>
      <c r="B106" s="4">
        <v>2</v>
      </c>
      <c r="C106" s="4">
        <v>500</v>
      </c>
    </row>
    <row r="107" spans="1:3" x14ac:dyDescent="0.25">
      <c r="A107" s="5">
        <v>180</v>
      </c>
      <c r="B107" s="5">
        <v>3</v>
      </c>
      <c r="C107" s="5">
        <v>540</v>
      </c>
    </row>
    <row r="108" spans="1:3" x14ac:dyDescent="0.25">
      <c r="A108" s="4">
        <v>45</v>
      </c>
      <c r="B108" s="4">
        <v>10</v>
      </c>
      <c r="C108" s="4">
        <v>450</v>
      </c>
    </row>
    <row r="109" spans="1:3" x14ac:dyDescent="0.25">
      <c r="A109" s="5">
        <v>25</v>
      </c>
      <c r="B109" s="5">
        <v>12</v>
      </c>
      <c r="C109" s="5">
        <v>300</v>
      </c>
    </row>
    <row r="110" spans="1:3" x14ac:dyDescent="0.25">
      <c r="A110" s="4">
        <v>120</v>
      </c>
      <c r="B110" s="4">
        <v>3</v>
      </c>
      <c r="C110" s="4">
        <v>360</v>
      </c>
    </row>
    <row r="111" spans="1:3" x14ac:dyDescent="0.25">
      <c r="A111" s="5">
        <v>220</v>
      </c>
      <c r="B111" s="5">
        <v>2</v>
      </c>
      <c r="C111" s="5">
        <v>440</v>
      </c>
    </row>
    <row r="112" spans="1:3" x14ac:dyDescent="0.25">
      <c r="A112" s="4">
        <v>870</v>
      </c>
      <c r="B112" s="4">
        <v>4</v>
      </c>
      <c r="C112" s="4">
        <v>3480</v>
      </c>
    </row>
    <row r="113" spans="1:3" x14ac:dyDescent="0.25">
      <c r="A113" s="5">
        <v>620</v>
      </c>
      <c r="B113" s="5">
        <v>8</v>
      </c>
      <c r="C113" s="5">
        <v>4960</v>
      </c>
    </row>
    <row r="114" spans="1:3" x14ac:dyDescent="0.25">
      <c r="A114" s="4">
        <v>410</v>
      </c>
      <c r="B114" s="4">
        <v>6</v>
      </c>
      <c r="C114" s="4">
        <v>2460</v>
      </c>
    </row>
    <row r="115" spans="1:3" x14ac:dyDescent="0.25">
      <c r="A115" s="5">
        <v>85</v>
      </c>
      <c r="B115" s="5">
        <v>25</v>
      </c>
      <c r="C115" s="5">
        <v>2125</v>
      </c>
    </row>
    <row r="116" spans="1:3" x14ac:dyDescent="0.25">
      <c r="A116" s="4">
        <v>260</v>
      </c>
      <c r="B116" s="4">
        <v>10</v>
      </c>
      <c r="C116" s="4">
        <v>2600</v>
      </c>
    </row>
    <row r="117" spans="1:3" x14ac:dyDescent="0.25">
      <c r="A117" s="5">
        <v>185</v>
      </c>
      <c r="B117" s="5">
        <v>10</v>
      </c>
      <c r="C117" s="5">
        <v>1850</v>
      </c>
    </row>
    <row r="118" spans="1:3" x14ac:dyDescent="0.25">
      <c r="A118" s="4">
        <v>50</v>
      </c>
      <c r="B118" s="4">
        <v>33</v>
      </c>
      <c r="C118" s="4">
        <v>1650</v>
      </c>
    </row>
    <row r="119" spans="1:3" x14ac:dyDescent="0.25">
      <c r="A119" s="8">
        <v>30</v>
      </c>
      <c r="B119" s="8">
        <v>45</v>
      </c>
      <c r="C119" s="8">
        <v>1350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Messy</vt:lpstr>
      <vt:lpstr>Cleaned </vt:lpstr>
      <vt:lpstr>Analysis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merit barnabas</dc:creator>
  <cp:lastModifiedBy>merit barnabas</cp:lastModifiedBy>
  <dcterms:created xsi:type="dcterms:W3CDTF">2026-06-10T19:29:23Z</dcterms:created>
  <dcterms:modified xsi:type="dcterms:W3CDTF">2026-06-10T22:53:15Z</dcterms:modified>
</cp:coreProperties>
</file>